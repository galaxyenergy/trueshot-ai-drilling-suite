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ueshotllc-my.sharepoint.com/personal/command_center_trueshotllc_com/Documents/Command Center/Jobs/2026/OXY/HP 396 # 9/Casper State 57-1-47-11 PAD 2/03-1-26-6306 Casper State 57-1-47-11 M 74HA/Survey Report/TrueShot Survey Work Book/"/>
    </mc:Choice>
  </mc:AlternateContent>
  <xr:revisionPtr revIDLastSave="197" documentId="13_ncr:1_{43652D87-F217-406F-BFC3-9D9B53B12F43}" xr6:coauthVersionLast="47" xr6:coauthVersionMax="47" xr10:uidLastSave="{D2D35594-EEA1-481E-8760-D15BF8043D45}"/>
  <bookViews>
    <workbookView xWindow="-18390" yWindow="1110" windowWidth="15420" windowHeight="14895" activeTab="1" xr2:uid="{032DAE43-820C-4648-AAC7-E62C64FB0A32}"/>
  </bookViews>
  <sheets>
    <sheet name="Surveys" sheetId="1" r:id="rId1"/>
    <sheet name="Sheet2" sheetId="5" r:id="rId2"/>
    <sheet name="Email List" sheetId="6" r:id="rId3"/>
    <sheet name="Mag Spacing Chart" sheetId="7" r:id="rId4"/>
    <sheet name="Worksheet" sheetId="2" state="hidden" r:id="rId5"/>
    <sheet name="Module1" sheetId="3" state="veryHidden" r:id="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\0">#REF!</definedName>
    <definedName name="\D">#REF!</definedName>
    <definedName name="\I">#REF!</definedName>
    <definedName name="\P">#REF!</definedName>
    <definedName name="\S">#REF!</definedName>
    <definedName name="____JOB1">#N/A</definedName>
    <definedName name="____LOC1">#REF!</definedName>
    <definedName name="____SUM1">#REF!</definedName>
    <definedName name="___Day2">#REF!</definedName>
    <definedName name="___Day3">#REF!</definedName>
    <definedName name="__JOB1">#N/A</definedName>
    <definedName name="__LOC1">#REF!</definedName>
    <definedName name="__SUM1">#REF!</definedName>
    <definedName name="_Day2">#REF!</definedName>
    <definedName name="_Day3">#REF!</definedName>
    <definedName name="_Fill" hidden="1">#REF!</definedName>
    <definedName name="_Key1" hidden="1">#REF!</definedName>
    <definedName name="_Order1" hidden="1">255</definedName>
    <definedName name="_xleta.N" hidden="1" xlm="1">#NAME?</definedName>
    <definedName name="_xleta.T" hidden="1" xlm="1">#NAME?</definedName>
    <definedName name="Above">'[1]Email Sheet'!$Z$4:$Z$8</definedName>
    <definedName name="AccessDatabase" hidden="1">"C:\M SOffice\Excel\4SUE\MWDFORMS\WORK-ORD\SKIDUNIT.mdb"</definedName>
    <definedName name="aer">#REF!</definedName>
    <definedName name="aetj">#REF!</definedName>
    <definedName name="AFENumber">#REF!</definedName>
    <definedName name="api_">#REF!</definedName>
    <definedName name="APINumber">#REF!</definedName>
    <definedName name="aweg">#REF!</definedName>
    <definedName name="Battery">'[2]Mud Pulse Inventory'!$D$19:$K$19</definedName>
    <definedName name="BHA">#REF!</definedName>
    <definedName name="BHAItems2">'[3]Sheet1 (3)'!$T$1:$T$34</definedName>
    <definedName name="BMS_List">[4]FilteredInventory!$A$8:$A$17</definedName>
    <definedName name="BoxPin">'[3]Sheet1 (3)'!$W$1:$W$3</definedName>
    <definedName name="C_">[5]Torques!#REF!</definedName>
    <definedName name="C_\Users\roc\Desktop\Jeremy">[6]Blank!#REF!</definedName>
    <definedName name="Client_Table">[4]Tables!$A$3:$A$203</definedName>
    <definedName name="CLSS_List">[4]FilteredInventory!$C$20:$C$29</definedName>
    <definedName name="codes">[7]tables!$C$1:$C$17</definedName>
    <definedName name="Collar_Size_Table">[4]Tables!$G$123:$G$132</definedName>
    <definedName name="CommSchemes">#REF!</definedName>
    <definedName name="Companies">#REF!</definedName>
    <definedName name="COMPANY">'[8]HEADER INFO'!$D$5</definedName>
    <definedName name="CorrectStraight" comment="Enter Gamma First">[9]Snapshot!$L$5:$L$9,[9]Snapshot!$L$11:$L$14,[9]Snapshot!$L$17:$L$20,[9]Snapshot!$L$10</definedName>
    <definedName name="County">#REF!</definedName>
    <definedName name="_xlnm.Criteria">#REF!</definedName>
    <definedName name="CWR_List">[4]FilteredInventory!$B$20:$B$29</definedName>
    <definedName name="d">#REF!</definedName>
    <definedName name="DAILY_TOTAL">#REF!</definedName>
    <definedName name="data" localSheetId="2" hidden="1">{#N/A,#N/A,FALSE,"BHA #1";#N/A,#N/A,FALSE,"BHA #2 17.5 HO";#N/A,#N/A,FALSE,"BHA #3 24 HO";#N/A,#N/A,FALSE,"BHA #4 12.25";#N/A,#N/A,FALSE,"BHA #5 17.5 HO";#N/A,#N/A,FALSE,"BHA #6 9.8";#N/A,#N/A,FALSE,"BHA #7 HO"}</definedName>
    <definedName name="data" hidden="1">{#N/A,#N/A,FALSE,"BHA #1";#N/A,#N/A,FALSE,"BHA #2 17.5 HO";#N/A,#N/A,FALSE,"BHA #3 24 HO";#N/A,#N/A,FALSE,"BHA #4 12.25";#N/A,#N/A,FALSE,"BHA #5 17.5 HO";#N/A,#N/A,FALSE,"BHA #6 9.8";#N/A,#N/A,FALSE,"BHA #7 HO"}</definedName>
    <definedName name="_xlnm.Database">#REF!</definedName>
    <definedName name="Datalink_List">[4]FilteredInventory!$G$8:$G$17</definedName>
    <definedName name="DC_List">[4]FilteredInventory!$B$32:$B$38</definedName>
    <definedName name="DEL">#REF!</definedName>
    <definedName name="DFT_List">[4]FilteredInventory!$F$20:$F$29</definedName>
    <definedName name="dipang">#REF!</definedName>
    <definedName name="DIR">#REF!</definedName>
    <definedName name="DirectionalCompany">#REF!</definedName>
    <definedName name="DNSC_List">[4]FilteredInventory!$D$20:$D$29</definedName>
    <definedName name="DPM_List">[4]FilteredInventory!$E$20:$E$29</definedName>
    <definedName name="DRS3_List">[4]FilteredInventory!$J$20:$J$29</definedName>
    <definedName name="DTAsOnly">[4]Tables!$G$174:$G$191</definedName>
    <definedName name="eght">#REF!</definedName>
    <definedName name="ENG_1">#REF!</definedName>
    <definedName name="ENG_2">#REF!</definedName>
    <definedName name="erht">#REF!</definedName>
    <definedName name="Failure_Type_Table">[4]Tables!$G$83:$G$93</definedName>
    <definedName name="FS_List">[4]FilteredInventory!$C$32:$C$38</definedName>
    <definedName name="GALV">#REF!</definedName>
    <definedName name="GRIDCORR">'[8]HEADER INFO'!$D$22</definedName>
    <definedName name="GridCorrection">#REF!</definedName>
    <definedName name="GT70226JobTicket">#REF!</definedName>
    <definedName name="HDAS_List">[4]FilteredInventory!$B$8:$B$17</definedName>
    <definedName name="HDS1M_List">[4]FilteredInventory!$A$20:$A$29</definedName>
    <definedName name="HTC_List">[4]FilteredInventory!$D$8:$D$17</definedName>
    <definedName name="ILS_List">[4]FilteredInventory!$F$32:$F$38</definedName>
    <definedName name="InLineConn">#REF!</definedName>
    <definedName name="INTREPIDREPS2">'[8]HEADER INFO'!$F$3</definedName>
    <definedName name="JOB">#N/A</definedName>
    <definedName name="JOB_TOTAL">#REF!</definedName>
    <definedName name="JOBNUMBER">'[8]HEADER INFO'!$D$3</definedName>
    <definedName name="JobStartDay">#REF!</definedName>
    <definedName name="kbtvd">#REF!</definedName>
    <definedName name="KELLY">#REF!</definedName>
    <definedName name="LabelToolList">[4]Tables!$N$16:$N$35</definedName>
    <definedName name="LAT">#REF!</definedName>
    <definedName name="LOC">#REF!</definedName>
    <definedName name="Long">#REF!</definedName>
    <definedName name="LP_TVD">#REF!</definedName>
    <definedName name="LWD_Conns">#REF!</definedName>
    <definedName name="Macro1">#N/A</definedName>
    <definedName name="MAGDEC">'[8]HEADER INFO'!$D$20</definedName>
    <definedName name="MENU1">#REF!</definedName>
    <definedName name="MENUC">#REF!</definedName>
    <definedName name="MENUE">#REF!</definedName>
    <definedName name="MENUO">#REF!</definedName>
    <definedName name="MENUP">#REF!</definedName>
    <definedName name="MENUQ">#REF!</definedName>
    <definedName name="MENUV">#REF!</definedName>
    <definedName name="Mud_Type_Table">[4]Tables!$G$103:$G$108</definedName>
    <definedName name="MuleshoeSub_List">[4]FilteredInventory!$E$32:$E$38</definedName>
    <definedName name="MWD">'[10]Mud Pulse Inventory'!$Z$13:$Z$21</definedName>
    <definedName name="MWDCompany">#REF!</definedName>
    <definedName name="No_Yes_Table">[4]Tables!$G$142:$G$143</definedName>
    <definedName name="NWHUTTON">#REF!</definedName>
    <definedName name="OBSK_List">[4]FilteredInventory!$B$46:$B$49</definedName>
    <definedName name="Operator">#REF!</definedName>
    <definedName name="OrificeID">#REF!</definedName>
    <definedName name="OSB_List">[4]FilteredInventory!$A$46:$A$49</definedName>
    <definedName name="p">#REF!</definedName>
    <definedName name="PermitNumber">#REF!</definedName>
    <definedName name="pi">3.14159265</definedName>
    <definedName name="pi_">#REF!</definedName>
    <definedName name="PIPE">#REF!</definedName>
    <definedName name="pird">3.14159265/180</definedName>
    <definedName name="pldir">#REF!</definedName>
    <definedName name="PoppetOD">#REF!</definedName>
    <definedName name="_xlnm.Print_Area" localSheetId="0">Surveys!$A$1:$P$206</definedName>
    <definedName name="_xlnm.Print_Area">#REF!</definedName>
    <definedName name="Print_Area_MI">#REF!</definedName>
    <definedName name="_xlnm.Print_Titles" localSheetId="0">Surveys!$1:$8</definedName>
    <definedName name="_xlnm.Print_Titles">#REF!</definedName>
    <definedName name="Print_Titles_MI">#REF!</definedName>
    <definedName name="PROJB">#REF!</definedName>
    <definedName name="PTB_Azm">#REF!</definedName>
    <definedName name="PTB_DEPTH">#REF!</definedName>
    <definedName name="PTB_DLS">#REF!</definedName>
    <definedName name="PTB_EW">#REF!</definedName>
    <definedName name="PTB_INC">#REF!</definedName>
    <definedName name="PTB_NS">#REF!</definedName>
    <definedName name="PTB_TVD">#REF!</definedName>
    <definedName name="PTB_VS">#REF!</definedName>
    <definedName name="Pulser_List">[4]FilteredInventory!$F$8:$F$17</definedName>
    <definedName name="PW">#REF!</definedName>
    <definedName name="PWD_Ranges">#REF!</definedName>
    <definedName name="PWD_Ratings">#REF!</definedName>
    <definedName name="PWidth">#REF!</definedName>
    <definedName name="PZIGl_List">[4]FilteredInventory!$H$20:$H$29</definedName>
    <definedName name="PZIGu_List">[4]FilteredInventory!$G$20:$G$29</definedName>
    <definedName name="RIG">'[8]HEADER INFO'!$D$7</definedName>
    <definedName name="Right">'[1]Email Sheet'!$Y$4:$Y$6</definedName>
    <definedName name="RigName">#REF!</definedName>
    <definedName name="RSS">#REF!</definedName>
    <definedName name="Size">[7]tables!$A$1:$A$13</definedName>
    <definedName name="SPOT">#REF!</definedName>
    <definedName name="State">#REF!</definedName>
    <definedName name="STB">#REF!</definedName>
    <definedName name="SUM">#REF!</definedName>
    <definedName name="SURVEY">#REF!</definedName>
    <definedName name="Surveys">#REF!</definedName>
    <definedName name="Svy_Azm">#REF!</definedName>
    <definedName name="SVY_DEPTH">#REF!</definedName>
    <definedName name="SVY_DLS">#REF!</definedName>
    <definedName name="SVY_EW">#REF!</definedName>
    <definedName name="Svy_Inc">#REF!</definedName>
    <definedName name="SVY_NS">#REF!</definedName>
    <definedName name="SVY_TVD">#REF!</definedName>
    <definedName name="SVY_VS">#REF!</definedName>
    <definedName name="TARGETAZM">'[8]HEADER INFO'!$D$28</definedName>
    <definedName name="TARGETCOOR">'[8]HEADER INFO'!$D$34</definedName>
    <definedName name="TARGETINC">'[8]HEADER INFO'!$D$30</definedName>
    <definedName name="TARGETTVD">'[8]HEADER INFO'!$D$32</definedName>
    <definedName name="TCM_List">[4]FilteredInventory!$C$8:$C$17</definedName>
    <definedName name="test" localSheetId="2" hidden="1">{#N/A,#N/A,FALSE,"BHA #1";#N/A,#N/A,FALSE,"BHA #2 17.5 HO";#N/A,#N/A,FALSE,"BHA #3 24 HO";#N/A,#N/A,FALSE,"BHA #4 12.25";#N/A,#N/A,FALSE,"BHA #5 17.5 HO";#N/A,#N/A,FALSE,"BHA #6 9.8";#N/A,#N/A,FALSE,"BHA #7 HO"}</definedName>
    <definedName name="test" hidden="1">{#N/A,#N/A,FALSE,"BHA #1";#N/A,#N/A,FALSE,"BHA #2 17.5 HO";#N/A,#N/A,FALSE,"BHA #3 24 HO";#N/A,#N/A,FALSE,"BHA #4 12.25";#N/A,#N/A,FALSE,"BHA #5 17.5 HO";#N/A,#N/A,FALSE,"BHA #6 9.8";#N/A,#N/A,FALSE,"BHA #7 HO"}</definedName>
    <definedName name="tgte">#REF!</definedName>
    <definedName name="tgtinc">#REF!</definedName>
    <definedName name="tgtn">#REF!</definedName>
    <definedName name="ThreadSizes2">'[3]Sheet1 (3)'!$U$1:$U$12</definedName>
    <definedName name="ThreadType2">'[3]Sheet1 (3)'!$V$1:$V$15</definedName>
    <definedName name="TOOL_List">[4]Tables!$N$2:$N$13</definedName>
    <definedName name="Tool_Table">[4]Tables!$G$3:$G$51</definedName>
    <definedName name="TOServiceTypes">#REF!</definedName>
    <definedName name="TOTAL">#REF!</definedName>
    <definedName name="TotalBitsLabel">"Label 203"</definedName>
    <definedName name="TRANSFER_TABLE">'[4]Material Transfer'!$X$3:$X$37</definedName>
    <definedName name="Trip_Type_Table">[4]Tables!$G$147:$G$149</definedName>
    <definedName name="Trkr_Bat_List">[4]FilteredInventory!$I$8:$I$17</definedName>
    <definedName name="TrkrElecBatList">[4]FilteredInventory!$T$7:$T$28</definedName>
    <definedName name="TYPE">#REF!</definedName>
    <definedName name="UBHO">'[10]Mud Pulse Inventory'!$D$21:$K$21</definedName>
    <definedName name="UGS_List">[4]FilteredInventory!$E$8:$E$17</definedName>
    <definedName name="WELL">'[8]HEADER INFO'!$D$9</definedName>
    <definedName name="WellInfo.WellLease">[11]FileName!$B$5</definedName>
    <definedName name="WellInfo.WellNumber">[11]FileName!$B$6</definedName>
    <definedName name="WellName">#REF!</definedName>
    <definedName name="WEST">#REF!</definedName>
    <definedName name="wrn.BHA._.Output." localSheetId="2" hidden="1">{#N/A,#N/A,FALSE,"BHA #1";#N/A,#N/A,FALSE,"BHA #2 17.5 HO";#N/A,#N/A,FALSE,"BHA #3 24 HO";#N/A,#N/A,FALSE,"BHA #4 12.25";#N/A,#N/A,FALSE,"BHA #5 17.5 HO";#N/A,#N/A,FALSE,"BHA #6 9.8";#N/A,#N/A,FALSE,"BHA #7 HO"}</definedName>
    <definedName name="wrn.BHA._.Output." hidden="1">{#N/A,#N/A,FALSE,"BHA #1";#N/A,#N/A,FALSE,"BHA #2 17.5 HO";#N/A,#N/A,FALSE,"BHA #3 24 HO";#N/A,#N/A,FALSE,"BHA #4 12.25";#N/A,#N/A,FALSE,"BHA #5 17.5 HO";#N/A,#N/A,FALSE,"BHA #6 9.8";#N/A,#N/A,FALSE,"BHA #7 HO"}</definedName>
    <definedName name="wrn.BHA._.Outputa." hidden="1">{#N/A,#N/A,FALSE,"BHA #1";#N/A,#N/A,FALSE,"BHA #2 17.5 HO";#N/A,#N/A,FALSE,"BHA #3 24 HO";#N/A,#N/A,FALSE,"BHA #4 12.25";#N/A,#N/A,FALSE,"BHA #5 17.5 HO";#N/A,#N/A,FALSE,"BHA #6 9.8";#N/A,#N/A,FALSE,"BHA #7 HO"}</definedName>
    <definedName name="wrn.BHA._.Report." hidden="1">{#N/A,#N/A,FALSE,"9.875 Pend";#N/A,#N/A,FALSE,"9.875 Steer RTTS";#N/A,#N/A,FALSE,"9.875 Pack";#N/A,#N/A,FALSE,"9.875"" HO";#N/A,#N/A,FALSE,"9.875 Hydraulics"}</definedName>
    <definedName name="wrn.BHAs." hidden="1">{#N/A,#N/A,FALSE,"9.875 Pack (2)";#N/A,#N/A,FALSE,"9.875 Pend";#N/A,#N/A,FALSE,"9.875 Steer RTTS";#N/A,#N/A,FALSE,"9.875 Pack";#N/A,#N/A,FALSE,"9.875"" HO";#N/A,#N/A,FALSE,"9.875 Hydraulics"}</definedName>
    <definedName name="x6ri">#REF!</definedName>
    <definedName name="XO_List">[4]FilteredInventory!$D$32:$D$38</definedName>
    <definedName name="Z_D88C5B2B_370B_11D1_883A_3C8B00C10000_.wvu.Cols" localSheetId="0" hidden="1">Surveys!$Q:$AD</definedName>
    <definedName name="Z_D88C5B2B_370B_11D1_883A_3C8B00C10000_.wvu.PrintTitles" localSheetId="0" hidden="1">Surveys!$1:$8</definedName>
    <definedName name="Z_D88C5B2C_370B_11D1_883A_3C8B00C10000_.wvu.Cols" localSheetId="0" hidden="1">Surveys!$Q:$AD</definedName>
    <definedName name="Z_D88C5B2C_370B_11D1_883A_3C8B00C10000_.wvu.PrintTitles" localSheetId="0" hidden="1">Surveys!$1:$8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82" i="1" l="1"/>
  <c r="C182" i="1"/>
  <c r="B182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S13" i="1" l="1"/>
  <c r="T13" i="1" s="1"/>
  <c r="O12" i="1"/>
  <c r="O13" i="1"/>
  <c r="P14" i="1"/>
  <c r="O15" i="1"/>
  <c r="O11" i="1"/>
  <c r="P11" i="1"/>
  <c r="S11" i="1"/>
  <c r="N11" i="1" s="1"/>
  <c r="S12" i="1"/>
  <c r="T12" i="1" s="1"/>
  <c r="S14" i="1" l="1"/>
  <c r="T14" i="1" s="1"/>
  <c r="O14" i="1"/>
  <c r="P12" i="1"/>
  <c r="P15" i="1"/>
  <c r="S15" i="1"/>
  <c r="T15" i="1" s="1"/>
  <c r="N12" i="1"/>
  <c r="P13" i="1"/>
  <c r="N13" i="1"/>
  <c r="T11" i="1"/>
  <c r="C37" i="5"/>
  <c r="C36" i="5"/>
  <c r="B22" i="5"/>
  <c r="F35" i="5"/>
  <c r="F11" i="1" l="1"/>
  <c r="F12" i="1" s="1"/>
  <c r="F13" i="1" s="1"/>
  <c r="F14" i="1" s="1"/>
  <c r="F15" i="1" s="1"/>
  <c r="N14" i="1"/>
  <c r="N15" i="1"/>
  <c r="U11" i="1"/>
  <c r="V11" i="1"/>
  <c r="D31" i="5"/>
  <c r="C31" i="5"/>
  <c r="D30" i="5"/>
  <c r="C30" i="5"/>
  <c r="D29" i="5"/>
  <c r="C29" i="5"/>
  <c r="G28" i="5"/>
  <c r="J11" i="1" l="1"/>
  <c r="K11" i="1"/>
  <c r="W11" i="1"/>
  <c r="V12" i="1"/>
  <c r="H11" i="1"/>
  <c r="U12" i="1"/>
  <c r="I11" i="1"/>
  <c r="C34" i="5"/>
  <c r="D28" i="5"/>
  <c r="C28" i="5"/>
  <c r="D27" i="5"/>
  <c r="C27" i="5"/>
  <c r="D26" i="5"/>
  <c r="B37" i="5"/>
  <c r="B36" i="5"/>
  <c r="D25" i="5"/>
  <c r="D24" i="5"/>
  <c r="C25" i="5"/>
  <c r="F28" i="5"/>
  <c r="B34" i="5"/>
  <c r="G32" i="5"/>
  <c r="F32" i="5"/>
  <c r="G30" i="5"/>
  <c r="F30" i="5"/>
  <c r="U13" i="1" l="1"/>
  <c r="H12" i="1"/>
  <c r="I12" i="1"/>
  <c r="J12" i="1"/>
  <c r="K12" i="1"/>
  <c r="L11" i="1"/>
  <c r="M11" i="1"/>
  <c r="V13" i="1"/>
  <c r="W12" i="1"/>
  <c r="E74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K13" i="1" l="1"/>
  <c r="J13" i="1"/>
  <c r="M12" i="1"/>
  <c r="L12" i="1"/>
  <c r="U14" i="1"/>
  <c r="H13" i="1"/>
  <c r="I13" i="1"/>
  <c r="G11" i="1"/>
  <c r="V14" i="1"/>
  <c r="W13" i="1"/>
  <c r="T1" i="5"/>
  <c r="B21" i="5" s="1"/>
  <c r="C24" i="5"/>
  <c r="C26" i="5"/>
  <c r="G12" i="1" l="1"/>
  <c r="J14" i="1"/>
  <c r="K14" i="1"/>
  <c r="M13" i="1"/>
  <c r="L13" i="1"/>
  <c r="U15" i="1"/>
  <c r="H14" i="1"/>
  <c r="I14" i="1"/>
  <c r="W14" i="1"/>
  <c r="V15" i="1"/>
  <c r="F17" i="5"/>
  <c r="Y3" i="5"/>
  <c r="S24" i="5"/>
  <c r="B11" i="5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S242" i="1"/>
  <c r="T242" i="1" s="1"/>
  <c r="S22" i="1"/>
  <c r="T22" i="1" s="1"/>
  <c r="O22" i="1"/>
  <c r="S21" i="1"/>
  <c r="P21" i="1"/>
  <c r="S16" i="1"/>
  <c r="S17" i="1"/>
  <c r="T17" i="1" s="1"/>
  <c r="S18" i="1"/>
  <c r="O18" i="1"/>
  <c r="S19" i="1"/>
  <c r="T19" i="1" s="1"/>
  <c r="O19" i="1"/>
  <c r="S20" i="1"/>
  <c r="S23" i="1"/>
  <c r="T23" i="1" s="1"/>
  <c r="O23" i="1"/>
  <c r="S24" i="1"/>
  <c r="T24" i="1" s="1"/>
  <c r="P24" i="1"/>
  <c r="S25" i="1"/>
  <c r="T25" i="1" s="1"/>
  <c r="P25" i="1"/>
  <c r="S26" i="1"/>
  <c r="S27" i="1"/>
  <c r="T27" i="1" s="1"/>
  <c r="P27" i="1"/>
  <c r="S28" i="1"/>
  <c r="O28" i="1"/>
  <c r="S29" i="1"/>
  <c r="S30" i="1"/>
  <c r="T30" i="1" s="1"/>
  <c r="S31" i="1"/>
  <c r="T31" i="1" s="1"/>
  <c r="O31" i="1"/>
  <c r="S32" i="1"/>
  <c r="T32" i="1" s="1"/>
  <c r="O32" i="1"/>
  <c r="S33" i="1"/>
  <c r="T33" i="1" s="1"/>
  <c r="O33" i="1"/>
  <c r="S34" i="1"/>
  <c r="T34" i="1" s="1"/>
  <c r="O34" i="1"/>
  <c r="S35" i="1"/>
  <c r="N35" i="1" s="1"/>
  <c r="O35" i="1"/>
  <c r="S36" i="1"/>
  <c r="T36" i="1" s="1"/>
  <c r="O36" i="1"/>
  <c r="S37" i="1"/>
  <c r="P37" i="1"/>
  <c r="S38" i="1"/>
  <c r="T38" i="1" s="1"/>
  <c r="P38" i="1"/>
  <c r="S39" i="1"/>
  <c r="T39" i="1" s="1"/>
  <c r="P39" i="1"/>
  <c r="S40" i="1"/>
  <c r="T40" i="1" s="1"/>
  <c r="O40" i="1"/>
  <c r="S41" i="1"/>
  <c r="T41" i="1" s="1"/>
  <c r="P41" i="1"/>
  <c r="S42" i="1"/>
  <c r="T42" i="1" s="1"/>
  <c r="S43" i="1"/>
  <c r="T43" i="1" s="1"/>
  <c r="P43" i="1"/>
  <c r="S44" i="1"/>
  <c r="T44" i="1" s="1"/>
  <c r="O44" i="1"/>
  <c r="S45" i="1"/>
  <c r="T45" i="1" s="1"/>
  <c r="O45" i="1"/>
  <c r="S46" i="1"/>
  <c r="T46" i="1" s="1"/>
  <c r="P46" i="1"/>
  <c r="S47" i="1"/>
  <c r="T47" i="1" s="1"/>
  <c r="P47" i="1"/>
  <c r="S48" i="1"/>
  <c r="T48" i="1" s="1"/>
  <c r="P48" i="1"/>
  <c r="S49" i="1"/>
  <c r="T49" i="1" s="1"/>
  <c r="S50" i="1"/>
  <c r="T50" i="1" s="1"/>
  <c r="O50" i="1"/>
  <c r="S51" i="1"/>
  <c r="T51" i="1" s="1"/>
  <c r="O51" i="1"/>
  <c r="S52" i="1"/>
  <c r="T52" i="1" s="1"/>
  <c r="O52" i="1"/>
  <c r="S53" i="1"/>
  <c r="T53" i="1" s="1"/>
  <c r="P53" i="1"/>
  <c r="S54" i="1"/>
  <c r="T54" i="1" s="1"/>
  <c r="S55" i="1"/>
  <c r="T55" i="1" s="1"/>
  <c r="P55" i="1"/>
  <c r="S56" i="1"/>
  <c r="T56" i="1" s="1"/>
  <c r="S57" i="1"/>
  <c r="T57" i="1" s="1"/>
  <c r="P57" i="1"/>
  <c r="S58" i="1"/>
  <c r="T58" i="1" s="1"/>
  <c r="P58" i="1"/>
  <c r="S59" i="1"/>
  <c r="T59" i="1" s="1"/>
  <c r="O59" i="1"/>
  <c r="S60" i="1"/>
  <c r="T60" i="1" s="1"/>
  <c r="O60" i="1"/>
  <c r="S61" i="1"/>
  <c r="T61" i="1" s="1"/>
  <c r="P61" i="1"/>
  <c r="S62" i="1"/>
  <c r="T62" i="1" s="1"/>
  <c r="O62" i="1"/>
  <c r="S63" i="1"/>
  <c r="T63" i="1" s="1"/>
  <c r="O63" i="1"/>
  <c r="S64" i="1"/>
  <c r="T64" i="1" s="1"/>
  <c r="O64" i="1"/>
  <c r="S65" i="1"/>
  <c r="T65" i="1" s="1"/>
  <c r="E65" i="1"/>
  <c r="O65" i="1" s="1"/>
  <c r="S66" i="1"/>
  <c r="T66" i="1" s="1"/>
  <c r="E66" i="1"/>
  <c r="P66" i="1" s="1"/>
  <c r="S67" i="1"/>
  <c r="T67" i="1" s="1"/>
  <c r="E67" i="1"/>
  <c r="S68" i="1"/>
  <c r="T68" i="1" s="1"/>
  <c r="E68" i="1"/>
  <c r="O68" i="1" s="1"/>
  <c r="S69" i="1"/>
  <c r="T69" i="1" s="1"/>
  <c r="E69" i="1"/>
  <c r="O69" i="1" s="1"/>
  <c r="S70" i="1"/>
  <c r="T70" i="1" s="1"/>
  <c r="E70" i="1"/>
  <c r="P70" i="1" s="1"/>
  <c r="S71" i="1"/>
  <c r="T71" i="1" s="1"/>
  <c r="E71" i="1"/>
  <c r="O71" i="1" s="1"/>
  <c r="S72" i="1"/>
  <c r="T72" i="1" s="1"/>
  <c r="E72" i="1"/>
  <c r="O72" i="1" s="1"/>
  <c r="S73" i="1"/>
  <c r="T73" i="1" s="1"/>
  <c r="E73" i="1"/>
  <c r="P73" i="1" s="1"/>
  <c r="S74" i="1"/>
  <c r="T74" i="1" s="1"/>
  <c r="O74" i="1"/>
  <c r="S75" i="1"/>
  <c r="T75" i="1" s="1"/>
  <c r="E75" i="1"/>
  <c r="O75" i="1" s="1"/>
  <c r="S76" i="1"/>
  <c r="T76" i="1" s="1"/>
  <c r="E76" i="1"/>
  <c r="O76" i="1" s="1"/>
  <c r="S77" i="1"/>
  <c r="T77" i="1" s="1"/>
  <c r="E77" i="1"/>
  <c r="O77" i="1" s="1"/>
  <c r="S78" i="1"/>
  <c r="T78" i="1" s="1"/>
  <c r="E78" i="1"/>
  <c r="P78" i="1" s="1"/>
  <c r="S79" i="1"/>
  <c r="T79" i="1" s="1"/>
  <c r="E79" i="1"/>
  <c r="O79" i="1" s="1"/>
  <c r="S80" i="1"/>
  <c r="T80" i="1" s="1"/>
  <c r="E80" i="1"/>
  <c r="O80" i="1" s="1"/>
  <c r="S81" i="1"/>
  <c r="T81" i="1" s="1"/>
  <c r="E81" i="1"/>
  <c r="O81" i="1" s="1"/>
  <c r="S82" i="1"/>
  <c r="T82" i="1" s="1"/>
  <c r="E82" i="1"/>
  <c r="O82" i="1" s="1"/>
  <c r="S83" i="1"/>
  <c r="T83" i="1" s="1"/>
  <c r="E83" i="1"/>
  <c r="O83" i="1" s="1"/>
  <c r="S84" i="1"/>
  <c r="T84" i="1" s="1"/>
  <c r="E84" i="1"/>
  <c r="O84" i="1" s="1"/>
  <c r="S85" i="1"/>
  <c r="T85" i="1" s="1"/>
  <c r="E85" i="1"/>
  <c r="O85" i="1" s="1"/>
  <c r="S86" i="1"/>
  <c r="T86" i="1" s="1"/>
  <c r="E86" i="1"/>
  <c r="P86" i="1" s="1"/>
  <c r="S87" i="1"/>
  <c r="T87" i="1" s="1"/>
  <c r="E87" i="1"/>
  <c r="S88" i="1"/>
  <c r="T88" i="1" s="1"/>
  <c r="E88" i="1"/>
  <c r="P88" i="1" s="1"/>
  <c r="S89" i="1"/>
  <c r="T89" i="1" s="1"/>
  <c r="E89" i="1"/>
  <c r="O89" i="1" s="1"/>
  <c r="S90" i="1"/>
  <c r="T90" i="1" s="1"/>
  <c r="E90" i="1"/>
  <c r="O90" i="1" s="1"/>
  <c r="S91" i="1"/>
  <c r="T91" i="1" s="1"/>
  <c r="E91" i="1"/>
  <c r="P91" i="1" s="1"/>
  <c r="S92" i="1"/>
  <c r="T92" i="1" s="1"/>
  <c r="E92" i="1"/>
  <c r="O92" i="1" s="1"/>
  <c r="S93" i="1"/>
  <c r="T93" i="1" s="1"/>
  <c r="E93" i="1"/>
  <c r="O93" i="1" s="1"/>
  <c r="S94" i="1"/>
  <c r="T94" i="1" s="1"/>
  <c r="E94" i="1"/>
  <c r="P94" i="1" s="1"/>
  <c r="S95" i="1"/>
  <c r="T95" i="1" s="1"/>
  <c r="E95" i="1"/>
  <c r="O95" i="1" s="1"/>
  <c r="S96" i="1"/>
  <c r="T96" i="1" s="1"/>
  <c r="E96" i="1"/>
  <c r="O96" i="1" s="1"/>
  <c r="S97" i="1"/>
  <c r="T97" i="1" s="1"/>
  <c r="E97" i="1"/>
  <c r="S98" i="1"/>
  <c r="T98" i="1" s="1"/>
  <c r="E98" i="1"/>
  <c r="O98" i="1" s="1"/>
  <c r="S99" i="1"/>
  <c r="T99" i="1" s="1"/>
  <c r="E99" i="1"/>
  <c r="O99" i="1" s="1"/>
  <c r="S100" i="1"/>
  <c r="T100" i="1" s="1"/>
  <c r="E100" i="1"/>
  <c r="O100" i="1" s="1"/>
  <c r="S101" i="1"/>
  <c r="T101" i="1" s="1"/>
  <c r="E101" i="1"/>
  <c r="P101" i="1" s="1"/>
  <c r="S102" i="1"/>
  <c r="T102" i="1" s="1"/>
  <c r="E102" i="1"/>
  <c r="P102" i="1" s="1"/>
  <c r="S103" i="1"/>
  <c r="T103" i="1" s="1"/>
  <c r="E103" i="1"/>
  <c r="P103" i="1" s="1"/>
  <c r="S104" i="1"/>
  <c r="T104" i="1" s="1"/>
  <c r="E104" i="1"/>
  <c r="P104" i="1" s="1"/>
  <c r="S105" i="1"/>
  <c r="T105" i="1" s="1"/>
  <c r="E105" i="1"/>
  <c r="O105" i="1" s="1"/>
  <c r="S106" i="1"/>
  <c r="T106" i="1" s="1"/>
  <c r="E106" i="1"/>
  <c r="P106" i="1" s="1"/>
  <c r="S107" i="1"/>
  <c r="T107" i="1" s="1"/>
  <c r="E107" i="1"/>
  <c r="P107" i="1" s="1"/>
  <c r="S108" i="1"/>
  <c r="T108" i="1" s="1"/>
  <c r="E108" i="1"/>
  <c r="S109" i="1"/>
  <c r="T109" i="1" s="1"/>
  <c r="E109" i="1"/>
  <c r="O109" i="1" s="1"/>
  <c r="S110" i="1"/>
  <c r="T110" i="1" s="1"/>
  <c r="E110" i="1"/>
  <c r="O110" i="1" s="1"/>
  <c r="S111" i="1"/>
  <c r="T111" i="1" s="1"/>
  <c r="E111" i="1"/>
  <c r="O111" i="1" s="1"/>
  <c r="S112" i="1"/>
  <c r="T112" i="1" s="1"/>
  <c r="E112" i="1"/>
  <c r="O112" i="1" s="1"/>
  <c r="S113" i="1"/>
  <c r="T113" i="1" s="1"/>
  <c r="E113" i="1"/>
  <c r="O113" i="1" s="1"/>
  <c r="S114" i="1"/>
  <c r="T114" i="1" s="1"/>
  <c r="E114" i="1"/>
  <c r="P114" i="1" s="1"/>
  <c r="S115" i="1"/>
  <c r="T115" i="1" s="1"/>
  <c r="E115" i="1"/>
  <c r="P115" i="1" s="1"/>
  <c r="S116" i="1"/>
  <c r="T116" i="1" s="1"/>
  <c r="E116" i="1"/>
  <c r="P116" i="1" s="1"/>
  <c r="S117" i="1"/>
  <c r="T117" i="1" s="1"/>
  <c r="E117" i="1"/>
  <c r="P117" i="1" s="1"/>
  <c r="S118" i="1"/>
  <c r="T118" i="1" s="1"/>
  <c r="E118" i="1"/>
  <c r="O118" i="1" s="1"/>
  <c r="S119" i="1"/>
  <c r="T119" i="1" s="1"/>
  <c r="E119" i="1"/>
  <c r="P119" i="1" s="1"/>
  <c r="S120" i="1"/>
  <c r="T120" i="1" s="1"/>
  <c r="E120" i="1"/>
  <c r="P120" i="1" s="1"/>
  <c r="S121" i="1"/>
  <c r="T121" i="1" s="1"/>
  <c r="E121" i="1"/>
  <c r="O121" i="1" s="1"/>
  <c r="S122" i="1"/>
  <c r="T122" i="1" s="1"/>
  <c r="E122" i="1"/>
  <c r="P122" i="1" s="1"/>
  <c r="S123" i="1"/>
  <c r="T123" i="1" s="1"/>
  <c r="E123" i="1"/>
  <c r="P123" i="1" s="1"/>
  <c r="S124" i="1"/>
  <c r="T124" i="1" s="1"/>
  <c r="E124" i="1"/>
  <c r="O124" i="1" s="1"/>
  <c r="S125" i="1"/>
  <c r="T125" i="1" s="1"/>
  <c r="E125" i="1"/>
  <c r="S126" i="1"/>
  <c r="T126" i="1" s="1"/>
  <c r="E126" i="1"/>
  <c r="P126" i="1" s="1"/>
  <c r="S127" i="1"/>
  <c r="T127" i="1" s="1"/>
  <c r="E127" i="1"/>
  <c r="P127" i="1" s="1"/>
  <c r="S128" i="1"/>
  <c r="T128" i="1" s="1"/>
  <c r="E128" i="1"/>
  <c r="O128" i="1" s="1"/>
  <c r="S129" i="1"/>
  <c r="T129" i="1" s="1"/>
  <c r="E129" i="1"/>
  <c r="P129" i="1" s="1"/>
  <c r="S130" i="1"/>
  <c r="T130" i="1" s="1"/>
  <c r="E130" i="1"/>
  <c r="P130" i="1" s="1"/>
  <c r="S131" i="1"/>
  <c r="T131" i="1" s="1"/>
  <c r="E131" i="1"/>
  <c r="O131" i="1" s="1"/>
  <c r="S132" i="1"/>
  <c r="T132" i="1" s="1"/>
  <c r="E132" i="1"/>
  <c r="P132" i="1" s="1"/>
  <c r="S133" i="1"/>
  <c r="T133" i="1" s="1"/>
  <c r="E133" i="1"/>
  <c r="P133" i="1" s="1"/>
  <c r="S134" i="1"/>
  <c r="T134" i="1" s="1"/>
  <c r="E134" i="1"/>
  <c r="P134" i="1" s="1"/>
  <c r="S135" i="1"/>
  <c r="T135" i="1" s="1"/>
  <c r="E135" i="1"/>
  <c r="P135" i="1" s="1"/>
  <c r="S136" i="1"/>
  <c r="T136" i="1" s="1"/>
  <c r="E136" i="1"/>
  <c r="O136" i="1" s="1"/>
  <c r="S137" i="1"/>
  <c r="T137" i="1" s="1"/>
  <c r="E137" i="1"/>
  <c r="P137" i="1" s="1"/>
  <c r="S138" i="1"/>
  <c r="T138" i="1" s="1"/>
  <c r="E138" i="1"/>
  <c r="P138" i="1" s="1"/>
  <c r="S139" i="1"/>
  <c r="T139" i="1" s="1"/>
  <c r="E139" i="1"/>
  <c r="P139" i="1" s="1"/>
  <c r="S140" i="1"/>
  <c r="T140" i="1" s="1"/>
  <c r="E140" i="1"/>
  <c r="P140" i="1" s="1"/>
  <c r="S141" i="1"/>
  <c r="T141" i="1" s="1"/>
  <c r="E141" i="1"/>
  <c r="O141" i="1" s="1"/>
  <c r="S142" i="1"/>
  <c r="T142" i="1" s="1"/>
  <c r="E142" i="1"/>
  <c r="P142" i="1" s="1"/>
  <c r="S143" i="1"/>
  <c r="T143" i="1" s="1"/>
  <c r="E143" i="1"/>
  <c r="P143" i="1" s="1"/>
  <c r="S144" i="1"/>
  <c r="T144" i="1" s="1"/>
  <c r="E144" i="1"/>
  <c r="O144" i="1" s="1"/>
  <c r="S145" i="1"/>
  <c r="T145" i="1" s="1"/>
  <c r="E145" i="1"/>
  <c r="P145" i="1" s="1"/>
  <c r="S146" i="1"/>
  <c r="T146" i="1" s="1"/>
  <c r="E146" i="1"/>
  <c r="O146" i="1" s="1"/>
  <c r="S147" i="1"/>
  <c r="T147" i="1" s="1"/>
  <c r="E147" i="1"/>
  <c r="O147" i="1" s="1"/>
  <c r="S148" i="1"/>
  <c r="T148" i="1" s="1"/>
  <c r="E148" i="1"/>
  <c r="P148" i="1" s="1"/>
  <c r="S149" i="1"/>
  <c r="T149" i="1" s="1"/>
  <c r="E149" i="1"/>
  <c r="P149" i="1" s="1"/>
  <c r="S150" i="1"/>
  <c r="T150" i="1" s="1"/>
  <c r="E150" i="1"/>
  <c r="O150" i="1" s="1"/>
  <c r="S151" i="1"/>
  <c r="T151" i="1" s="1"/>
  <c r="E151" i="1"/>
  <c r="O151" i="1" s="1"/>
  <c r="S152" i="1"/>
  <c r="T152" i="1" s="1"/>
  <c r="E152" i="1"/>
  <c r="O152" i="1" s="1"/>
  <c r="S153" i="1"/>
  <c r="T153" i="1" s="1"/>
  <c r="E153" i="1"/>
  <c r="P153" i="1" s="1"/>
  <c r="S154" i="1"/>
  <c r="T154" i="1" s="1"/>
  <c r="E154" i="1"/>
  <c r="P154" i="1" s="1"/>
  <c r="S155" i="1"/>
  <c r="T155" i="1" s="1"/>
  <c r="E155" i="1"/>
  <c r="O155" i="1" s="1"/>
  <c r="S156" i="1"/>
  <c r="T156" i="1" s="1"/>
  <c r="E156" i="1"/>
  <c r="P156" i="1" s="1"/>
  <c r="S157" i="1"/>
  <c r="T157" i="1" s="1"/>
  <c r="E157" i="1"/>
  <c r="P157" i="1" s="1"/>
  <c r="S158" i="1"/>
  <c r="T158" i="1" s="1"/>
  <c r="E158" i="1"/>
  <c r="P158" i="1" s="1"/>
  <c r="S159" i="1"/>
  <c r="T159" i="1" s="1"/>
  <c r="E159" i="1"/>
  <c r="P159" i="1" s="1"/>
  <c r="S160" i="1"/>
  <c r="E160" i="1"/>
  <c r="S161" i="1"/>
  <c r="E161" i="1"/>
  <c r="P161" i="1" s="1"/>
  <c r="S162" i="1"/>
  <c r="T162" i="1" s="1"/>
  <c r="E162" i="1"/>
  <c r="P162" i="1" s="1"/>
  <c r="S163" i="1"/>
  <c r="T163" i="1" s="1"/>
  <c r="E163" i="1"/>
  <c r="S164" i="1"/>
  <c r="T164" i="1" s="1"/>
  <c r="E164" i="1"/>
  <c r="P164" i="1" s="1"/>
  <c r="S165" i="1"/>
  <c r="T165" i="1" s="1"/>
  <c r="E165" i="1"/>
  <c r="P165" i="1" s="1"/>
  <c r="S166" i="1"/>
  <c r="T166" i="1" s="1"/>
  <c r="E166" i="1"/>
  <c r="P166" i="1" s="1"/>
  <c r="S167" i="1"/>
  <c r="T167" i="1" s="1"/>
  <c r="E167" i="1"/>
  <c r="P167" i="1" s="1"/>
  <c r="S168" i="1"/>
  <c r="T168" i="1" s="1"/>
  <c r="E168" i="1"/>
  <c r="O168" i="1" s="1"/>
  <c r="S169" i="1"/>
  <c r="E169" i="1"/>
  <c r="P169" i="1" s="1"/>
  <c r="S170" i="1"/>
  <c r="T170" i="1" s="1"/>
  <c r="E170" i="1"/>
  <c r="O170" i="1" s="1"/>
  <c r="S171" i="1"/>
  <c r="T171" i="1" s="1"/>
  <c r="E171" i="1"/>
  <c r="O171" i="1" s="1"/>
  <c r="S172" i="1"/>
  <c r="T172" i="1" s="1"/>
  <c r="E172" i="1"/>
  <c r="P172" i="1" s="1"/>
  <c r="S173" i="1"/>
  <c r="T173" i="1" s="1"/>
  <c r="E173" i="1"/>
  <c r="P173" i="1" s="1"/>
  <c r="S174" i="1"/>
  <c r="T174" i="1" s="1"/>
  <c r="E174" i="1"/>
  <c r="P174" i="1" s="1"/>
  <c r="S175" i="1"/>
  <c r="E175" i="1"/>
  <c r="S176" i="1"/>
  <c r="E176" i="1"/>
  <c r="P176" i="1" s="1"/>
  <c r="S177" i="1"/>
  <c r="T177" i="1" s="1"/>
  <c r="E177" i="1"/>
  <c r="P177" i="1" s="1"/>
  <c r="S178" i="1"/>
  <c r="T178" i="1" s="1"/>
  <c r="E178" i="1"/>
  <c r="O178" i="1" s="1"/>
  <c r="S179" i="1"/>
  <c r="T179" i="1" s="1"/>
  <c r="E179" i="1"/>
  <c r="S180" i="1"/>
  <c r="T180" i="1" s="1"/>
  <c r="E180" i="1"/>
  <c r="P180" i="1" s="1"/>
  <c r="S181" i="1"/>
  <c r="T181" i="1" s="1"/>
  <c r="E181" i="1"/>
  <c r="P181" i="1" s="1"/>
  <c r="S182" i="1"/>
  <c r="T182" i="1" s="1"/>
  <c r="F182" i="1" s="1"/>
  <c r="E182" i="1"/>
  <c r="S183" i="1"/>
  <c r="T183" i="1" s="1"/>
  <c r="E183" i="1"/>
  <c r="S184" i="1"/>
  <c r="T184" i="1" s="1"/>
  <c r="E184" i="1"/>
  <c r="S185" i="1"/>
  <c r="T185" i="1" s="1"/>
  <c r="E185" i="1"/>
  <c r="S186" i="1"/>
  <c r="T186" i="1" s="1"/>
  <c r="E186" i="1"/>
  <c r="S187" i="1"/>
  <c r="T187" i="1" s="1"/>
  <c r="E187" i="1"/>
  <c r="S188" i="1"/>
  <c r="T188" i="1" s="1"/>
  <c r="E188" i="1"/>
  <c r="S189" i="1"/>
  <c r="T189" i="1" s="1"/>
  <c r="E189" i="1"/>
  <c r="S190" i="1"/>
  <c r="T190" i="1" s="1"/>
  <c r="E190" i="1"/>
  <c r="S191" i="1"/>
  <c r="T191" i="1" s="1"/>
  <c r="E191" i="1"/>
  <c r="S192" i="1"/>
  <c r="T192" i="1" s="1"/>
  <c r="E192" i="1"/>
  <c r="S193" i="1"/>
  <c r="T193" i="1" s="1"/>
  <c r="E193" i="1"/>
  <c r="S194" i="1"/>
  <c r="T194" i="1" s="1"/>
  <c r="E194" i="1"/>
  <c r="S195" i="1"/>
  <c r="T195" i="1" s="1"/>
  <c r="E195" i="1"/>
  <c r="S196" i="1"/>
  <c r="T196" i="1" s="1"/>
  <c r="E196" i="1"/>
  <c r="S197" i="1"/>
  <c r="T197" i="1" s="1"/>
  <c r="E197" i="1"/>
  <c r="S198" i="1"/>
  <c r="T198" i="1" s="1"/>
  <c r="E198" i="1"/>
  <c r="S199" i="1"/>
  <c r="T199" i="1"/>
  <c r="E199" i="1"/>
  <c r="S200" i="1"/>
  <c r="T200" i="1" s="1"/>
  <c r="E200" i="1"/>
  <c r="S201" i="1"/>
  <c r="T201" i="1" s="1"/>
  <c r="E201" i="1"/>
  <c r="S202" i="1"/>
  <c r="T202" i="1" s="1"/>
  <c r="E202" i="1"/>
  <c r="S203" i="1"/>
  <c r="T203" i="1" s="1"/>
  <c r="E203" i="1"/>
  <c r="S204" i="1"/>
  <c r="T204" i="1" s="1"/>
  <c r="E204" i="1"/>
  <c r="S205" i="1"/>
  <c r="T205" i="1" s="1"/>
  <c r="E205" i="1"/>
  <c r="S206" i="1"/>
  <c r="T206" i="1" s="1"/>
  <c r="E206" i="1"/>
  <c r="S207" i="1"/>
  <c r="T207" i="1" s="1"/>
  <c r="E207" i="1"/>
  <c r="S208" i="1"/>
  <c r="T208" i="1" s="1"/>
  <c r="E208" i="1"/>
  <c r="S209" i="1"/>
  <c r="T209" i="1"/>
  <c r="E209" i="1"/>
  <c r="S210" i="1"/>
  <c r="T210" i="1"/>
  <c r="E210" i="1"/>
  <c r="S211" i="1"/>
  <c r="T211" i="1" s="1"/>
  <c r="E211" i="1"/>
  <c r="S212" i="1"/>
  <c r="T212" i="1" s="1"/>
  <c r="E212" i="1"/>
  <c r="S213" i="1"/>
  <c r="T213" i="1" s="1"/>
  <c r="E213" i="1"/>
  <c r="S214" i="1"/>
  <c r="T214" i="1"/>
  <c r="E214" i="1"/>
  <c r="S215" i="1"/>
  <c r="T215" i="1"/>
  <c r="E215" i="1"/>
  <c r="S216" i="1"/>
  <c r="T216" i="1" s="1"/>
  <c r="E216" i="1"/>
  <c r="S217" i="1"/>
  <c r="T217" i="1" s="1"/>
  <c r="E217" i="1"/>
  <c r="S218" i="1"/>
  <c r="T218" i="1" s="1"/>
  <c r="E218" i="1"/>
  <c r="S219" i="1"/>
  <c r="T219" i="1" s="1"/>
  <c r="E219" i="1"/>
  <c r="S220" i="1"/>
  <c r="T220" i="1" s="1"/>
  <c r="E220" i="1"/>
  <c r="S221" i="1"/>
  <c r="T221" i="1" s="1"/>
  <c r="E221" i="1"/>
  <c r="S222" i="1"/>
  <c r="T222" i="1" s="1"/>
  <c r="E222" i="1"/>
  <c r="S223" i="1"/>
  <c r="T223" i="1" s="1"/>
  <c r="E223" i="1"/>
  <c r="S224" i="1"/>
  <c r="T224" i="1" s="1"/>
  <c r="E224" i="1"/>
  <c r="S225" i="1"/>
  <c r="T225" i="1" s="1"/>
  <c r="E225" i="1"/>
  <c r="S226" i="1"/>
  <c r="T226" i="1"/>
  <c r="E226" i="1"/>
  <c r="S227" i="1"/>
  <c r="T227" i="1" s="1"/>
  <c r="E227" i="1"/>
  <c r="S228" i="1"/>
  <c r="T228" i="1" s="1"/>
  <c r="E228" i="1"/>
  <c r="S229" i="1"/>
  <c r="T229" i="1" s="1"/>
  <c r="E229" i="1"/>
  <c r="S230" i="1"/>
  <c r="T230" i="1" s="1"/>
  <c r="E230" i="1"/>
  <c r="S231" i="1"/>
  <c r="T231" i="1"/>
  <c r="E231" i="1"/>
  <c r="S232" i="1"/>
  <c r="T232" i="1" s="1"/>
  <c r="E232" i="1"/>
  <c r="S233" i="1"/>
  <c r="T233" i="1"/>
  <c r="E233" i="1"/>
  <c r="S234" i="1"/>
  <c r="T234" i="1" s="1"/>
  <c r="E234" i="1"/>
  <c r="S235" i="1"/>
  <c r="T235" i="1" s="1"/>
  <c r="E235" i="1"/>
  <c r="S236" i="1"/>
  <c r="T236" i="1"/>
  <c r="E236" i="1"/>
  <c r="S237" i="1"/>
  <c r="T237" i="1" s="1"/>
  <c r="E237" i="1"/>
  <c r="S238" i="1"/>
  <c r="T238" i="1" s="1"/>
  <c r="E238" i="1"/>
  <c r="S239" i="1"/>
  <c r="T239" i="1" s="1"/>
  <c r="E239" i="1"/>
  <c r="S240" i="1"/>
  <c r="T240" i="1" s="1"/>
  <c r="E240" i="1"/>
  <c r="S241" i="1"/>
  <c r="T241" i="1" s="1"/>
  <c r="E241" i="1"/>
  <c r="E242" i="1"/>
  <c r="S243" i="1"/>
  <c r="T243" i="1" s="1"/>
  <c r="E243" i="1"/>
  <c r="S244" i="1"/>
  <c r="T244" i="1" s="1"/>
  <c r="E244" i="1"/>
  <c r="S245" i="1"/>
  <c r="T245" i="1" s="1"/>
  <c r="E245" i="1"/>
  <c r="S246" i="1"/>
  <c r="T246" i="1"/>
  <c r="E246" i="1"/>
  <c r="S247" i="1"/>
  <c r="T247" i="1" s="1"/>
  <c r="E247" i="1"/>
  <c r="S248" i="1"/>
  <c r="T248" i="1" s="1"/>
  <c r="E248" i="1"/>
  <c r="S249" i="1"/>
  <c r="T249" i="1" s="1"/>
  <c r="E249" i="1"/>
  <c r="S250" i="1"/>
  <c r="T250" i="1" s="1"/>
  <c r="E250" i="1"/>
  <c r="S251" i="1"/>
  <c r="T251" i="1"/>
  <c r="E251" i="1"/>
  <c r="S252" i="1"/>
  <c r="T252" i="1" s="1"/>
  <c r="E252" i="1"/>
  <c r="S253" i="1"/>
  <c r="T253" i="1" s="1"/>
  <c r="E253" i="1"/>
  <c r="S254" i="1"/>
  <c r="T254" i="1" s="1"/>
  <c r="E254" i="1"/>
  <c r="S255" i="1"/>
  <c r="T255" i="1" s="1"/>
  <c r="E255" i="1"/>
  <c r="S256" i="1"/>
  <c r="T256" i="1" s="1"/>
  <c r="E256" i="1"/>
  <c r="S257" i="1"/>
  <c r="T257" i="1" s="1"/>
  <c r="E257" i="1"/>
  <c r="S258" i="1"/>
  <c r="T258" i="1"/>
  <c r="E258" i="1"/>
  <c r="S259" i="1"/>
  <c r="T259" i="1" s="1"/>
  <c r="E259" i="1"/>
  <c r="S260" i="1"/>
  <c r="T260" i="1" s="1"/>
  <c r="S261" i="1"/>
  <c r="T261" i="1" s="1"/>
  <c r="S262" i="1"/>
  <c r="T262" i="1" s="1"/>
  <c r="S263" i="1"/>
  <c r="T263" i="1" s="1"/>
  <c r="S264" i="1"/>
  <c r="T264" i="1" s="1"/>
  <c r="S265" i="1"/>
  <c r="T265" i="1" s="1"/>
  <c r="S266" i="1"/>
  <c r="T266" i="1" s="1"/>
  <c r="S267" i="1"/>
  <c r="T267" i="1" s="1"/>
  <c r="S268" i="1"/>
  <c r="T268" i="1" s="1"/>
  <c r="S269" i="1"/>
  <c r="T269" i="1" s="1"/>
  <c r="S270" i="1"/>
  <c r="T270" i="1" s="1"/>
  <c r="S271" i="1"/>
  <c r="T271" i="1" s="1"/>
  <c r="S272" i="1"/>
  <c r="T272" i="1" s="1"/>
  <c r="S273" i="1"/>
  <c r="T273" i="1"/>
  <c r="S274" i="1"/>
  <c r="T274" i="1"/>
  <c r="S275" i="1"/>
  <c r="T275" i="1" s="1"/>
  <c r="S276" i="1"/>
  <c r="T276" i="1" s="1"/>
  <c r="S277" i="1"/>
  <c r="T277" i="1" s="1"/>
  <c r="S278" i="1"/>
  <c r="T278" i="1" s="1"/>
  <c r="S279" i="1"/>
  <c r="T279" i="1" s="1"/>
  <c r="S280" i="1"/>
  <c r="T280" i="1" s="1"/>
  <c r="S281" i="1"/>
  <c r="T281" i="1" s="1"/>
  <c r="S282" i="1"/>
  <c r="T282" i="1"/>
  <c r="S283" i="1"/>
  <c r="T283" i="1" s="1"/>
  <c r="S284" i="1"/>
  <c r="T284" i="1" s="1"/>
  <c r="S285" i="1"/>
  <c r="T285" i="1" s="1"/>
  <c r="S286" i="1"/>
  <c r="T286" i="1" s="1"/>
  <c r="S287" i="1"/>
  <c r="T287" i="1" s="1"/>
  <c r="S288" i="1"/>
  <c r="T288" i="1" s="1"/>
  <c r="S289" i="1"/>
  <c r="T289" i="1" s="1"/>
  <c r="S290" i="1"/>
  <c r="T290" i="1"/>
  <c r="S291" i="1"/>
  <c r="T291" i="1"/>
  <c r="S292" i="1"/>
  <c r="T292" i="1"/>
  <c r="S293" i="1"/>
  <c r="T293" i="1" s="1"/>
  <c r="S294" i="1"/>
  <c r="T294" i="1" s="1"/>
  <c r="S295" i="1"/>
  <c r="T295" i="1" s="1"/>
  <c r="S296" i="1"/>
  <c r="T296" i="1" s="1"/>
  <c r="S297" i="1"/>
  <c r="T297" i="1" s="1"/>
  <c r="S298" i="1"/>
  <c r="T298" i="1" s="1"/>
  <c r="S299" i="1"/>
  <c r="T299" i="1" s="1"/>
  <c r="S300" i="1"/>
  <c r="T300" i="1" s="1"/>
  <c r="S301" i="1"/>
  <c r="T301" i="1" s="1"/>
  <c r="S302" i="1"/>
  <c r="T302" i="1" s="1"/>
  <c r="S303" i="1"/>
  <c r="T303" i="1" s="1"/>
  <c r="S304" i="1"/>
  <c r="T304" i="1" s="1"/>
  <c r="S305" i="1"/>
  <c r="T305" i="1" s="1"/>
  <c r="S306" i="1"/>
  <c r="T306" i="1" s="1"/>
  <c r="S307" i="1"/>
  <c r="T307" i="1" s="1"/>
  <c r="S308" i="1"/>
  <c r="T308" i="1" s="1"/>
  <c r="S309" i="1"/>
  <c r="T309" i="1" s="1"/>
  <c r="S310" i="1"/>
  <c r="T310" i="1" s="1"/>
  <c r="S311" i="1"/>
  <c r="T311" i="1" s="1"/>
  <c r="S312" i="1"/>
  <c r="T312" i="1" s="1"/>
  <c r="S313" i="1"/>
  <c r="T313" i="1" s="1"/>
  <c r="S314" i="1"/>
  <c r="T314" i="1" s="1"/>
  <c r="S315" i="1"/>
  <c r="T315" i="1" s="1"/>
  <c r="S316" i="1"/>
  <c r="T316" i="1" s="1"/>
  <c r="S317" i="1"/>
  <c r="T317" i="1" s="1"/>
  <c r="S318" i="1"/>
  <c r="T318" i="1" s="1"/>
  <c r="S319" i="1"/>
  <c r="T319" i="1"/>
  <c r="S320" i="1"/>
  <c r="T320" i="1" s="1"/>
  <c r="S321" i="1"/>
  <c r="T321" i="1"/>
  <c r="S322" i="1"/>
  <c r="T322" i="1" s="1"/>
  <c r="S323" i="1"/>
  <c r="T323" i="1"/>
  <c r="S324" i="1"/>
  <c r="T324" i="1"/>
  <c r="S325" i="1"/>
  <c r="T325" i="1" s="1"/>
  <c r="S326" i="1"/>
  <c r="T326" i="1" s="1"/>
  <c r="S327" i="1"/>
  <c r="T327" i="1" s="1"/>
  <c r="S328" i="1"/>
  <c r="T328" i="1" s="1"/>
  <c r="S329" i="1"/>
  <c r="T329" i="1" s="1"/>
  <c r="S330" i="1"/>
  <c r="T330" i="1" s="1"/>
  <c r="S331" i="1"/>
  <c r="T331" i="1" s="1"/>
  <c r="S332" i="1"/>
  <c r="T332" i="1" s="1"/>
  <c r="S333" i="1"/>
  <c r="T333" i="1" s="1"/>
  <c r="S334" i="1"/>
  <c r="T334" i="1" s="1"/>
  <c r="S335" i="1"/>
  <c r="T335" i="1" s="1"/>
  <c r="S336" i="1"/>
  <c r="T336" i="1" s="1"/>
  <c r="S337" i="1"/>
  <c r="T337" i="1" s="1"/>
  <c r="S338" i="1"/>
  <c r="T338" i="1" s="1"/>
  <c r="S339" i="1"/>
  <c r="T339" i="1"/>
  <c r="S340" i="1"/>
  <c r="T340" i="1"/>
  <c r="S341" i="1"/>
  <c r="T341" i="1" s="1"/>
  <c r="S342" i="1"/>
  <c r="T342" i="1" s="1"/>
  <c r="S343" i="1"/>
  <c r="T343" i="1" s="1"/>
  <c r="S344" i="1"/>
  <c r="T344" i="1" s="1"/>
  <c r="S345" i="1"/>
  <c r="T345" i="1" s="1"/>
  <c r="S346" i="1"/>
  <c r="T346" i="1"/>
  <c r="S347" i="1"/>
  <c r="T347" i="1" s="1"/>
  <c r="S348" i="1"/>
  <c r="T348" i="1" s="1"/>
  <c r="S349" i="1"/>
  <c r="T349" i="1" s="1"/>
  <c r="S350" i="1"/>
  <c r="T350" i="1" s="1"/>
  <c r="S351" i="1"/>
  <c r="T351" i="1"/>
  <c r="S352" i="1"/>
  <c r="T352" i="1" s="1"/>
  <c r="S353" i="1"/>
  <c r="T353" i="1" s="1"/>
  <c r="S354" i="1"/>
  <c r="T354" i="1" s="1"/>
  <c r="S355" i="1"/>
  <c r="T355" i="1" s="1"/>
  <c r="S356" i="1"/>
  <c r="T356" i="1"/>
  <c r="S357" i="1"/>
  <c r="T357" i="1" s="1"/>
  <c r="S358" i="1"/>
  <c r="T358" i="1" s="1"/>
  <c r="S359" i="1"/>
  <c r="T359" i="1" s="1"/>
  <c r="S360" i="1"/>
  <c r="T360" i="1" s="1"/>
  <c r="S361" i="1"/>
  <c r="T361" i="1" s="1"/>
  <c r="S362" i="1"/>
  <c r="T362" i="1" s="1"/>
  <c r="S363" i="1"/>
  <c r="T363" i="1" s="1"/>
  <c r="S364" i="1"/>
  <c r="T364" i="1" s="1"/>
  <c r="S365" i="1"/>
  <c r="T365" i="1" s="1"/>
  <c r="S366" i="1"/>
  <c r="T366" i="1" s="1"/>
  <c r="S367" i="1"/>
  <c r="T367" i="1"/>
  <c r="S368" i="1"/>
  <c r="T368" i="1" s="1"/>
  <c r="S369" i="1"/>
  <c r="T369" i="1"/>
  <c r="S370" i="1"/>
  <c r="T370" i="1" s="1"/>
  <c r="S371" i="1"/>
  <c r="T371" i="1" s="1"/>
  <c r="S372" i="1"/>
  <c r="T372" i="1"/>
  <c r="S373" i="1"/>
  <c r="T373" i="1" s="1"/>
  <c r="S374" i="1"/>
  <c r="T374" i="1" s="1"/>
  <c r="S375" i="1"/>
  <c r="T375" i="1" s="1"/>
  <c r="S376" i="1"/>
  <c r="T376" i="1" s="1"/>
  <c r="S377" i="1"/>
  <c r="T377" i="1" s="1"/>
  <c r="S378" i="1"/>
  <c r="T378" i="1" s="1"/>
  <c r="S379" i="1"/>
  <c r="T379" i="1" s="1"/>
  <c r="S380" i="1"/>
  <c r="T380" i="1" s="1"/>
  <c r="S381" i="1"/>
  <c r="T381" i="1" s="1"/>
  <c r="S382" i="1"/>
  <c r="T382" i="1" s="1"/>
  <c r="S383" i="1"/>
  <c r="T383" i="1" s="1"/>
  <c r="S384" i="1"/>
  <c r="T384" i="1" s="1"/>
  <c r="S385" i="1"/>
  <c r="T385" i="1" s="1"/>
  <c r="S386" i="1"/>
  <c r="T386" i="1" s="1"/>
  <c r="S387" i="1"/>
  <c r="T387" i="1"/>
  <c r="S388" i="1"/>
  <c r="T388" i="1" s="1"/>
  <c r="S389" i="1"/>
  <c r="T389" i="1" s="1"/>
  <c r="S390" i="1"/>
  <c r="T390" i="1" s="1"/>
  <c r="S391" i="1"/>
  <c r="T391" i="1" s="1"/>
  <c r="S392" i="1"/>
  <c r="T392" i="1" s="1"/>
  <c r="S393" i="1"/>
  <c r="T393" i="1" s="1"/>
  <c r="S394" i="1"/>
  <c r="T394" i="1"/>
  <c r="S395" i="1"/>
  <c r="T395" i="1" s="1"/>
  <c r="S396" i="1"/>
  <c r="T396" i="1" s="1"/>
  <c r="S397" i="1"/>
  <c r="T397" i="1" s="1"/>
  <c r="S398" i="1"/>
  <c r="T398" i="1" s="1"/>
  <c r="S399" i="1"/>
  <c r="T399" i="1"/>
  <c r="S400" i="1"/>
  <c r="T400" i="1" s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H242" i="1"/>
  <c r="J242" i="1"/>
  <c r="L242" i="1"/>
  <c r="I242" i="1"/>
  <c r="K242" i="1"/>
  <c r="M242" i="1"/>
  <c r="G242" i="1"/>
  <c r="N242" i="1"/>
  <c r="O242" i="1"/>
  <c r="P242" i="1"/>
  <c r="F243" i="1"/>
  <c r="H243" i="1"/>
  <c r="J243" i="1"/>
  <c r="L243" i="1"/>
  <c r="I243" i="1"/>
  <c r="K243" i="1"/>
  <c r="M243" i="1"/>
  <c r="G243" i="1"/>
  <c r="N243" i="1"/>
  <c r="O243" i="1"/>
  <c r="P243" i="1"/>
  <c r="F244" i="1"/>
  <c r="H244" i="1"/>
  <c r="J244" i="1"/>
  <c r="L244" i="1"/>
  <c r="I244" i="1"/>
  <c r="K244" i="1"/>
  <c r="M244" i="1"/>
  <c r="G244" i="1"/>
  <c r="N244" i="1"/>
  <c r="O244" i="1"/>
  <c r="P244" i="1"/>
  <c r="F245" i="1"/>
  <c r="H245" i="1"/>
  <c r="J245" i="1"/>
  <c r="L245" i="1"/>
  <c r="I245" i="1"/>
  <c r="K245" i="1"/>
  <c r="M245" i="1"/>
  <c r="G245" i="1"/>
  <c r="N245" i="1"/>
  <c r="O245" i="1"/>
  <c r="P245" i="1"/>
  <c r="F246" i="1"/>
  <c r="H246" i="1"/>
  <c r="J246" i="1"/>
  <c r="L246" i="1"/>
  <c r="I246" i="1"/>
  <c r="K246" i="1"/>
  <c r="M246" i="1"/>
  <c r="G246" i="1"/>
  <c r="N246" i="1"/>
  <c r="O246" i="1"/>
  <c r="P246" i="1"/>
  <c r="F247" i="1"/>
  <c r="H247" i="1"/>
  <c r="J247" i="1"/>
  <c r="L247" i="1"/>
  <c r="I247" i="1"/>
  <c r="K247" i="1"/>
  <c r="M247" i="1"/>
  <c r="G247" i="1"/>
  <c r="N247" i="1"/>
  <c r="O247" i="1"/>
  <c r="P247" i="1"/>
  <c r="F248" i="1"/>
  <c r="H248" i="1"/>
  <c r="J248" i="1"/>
  <c r="L248" i="1"/>
  <c r="I248" i="1"/>
  <c r="K248" i="1"/>
  <c r="M248" i="1"/>
  <c r="G248" i="1"/>
  <c r="N248" i="1"/>
  <c r="O248" i="1"/>
  <c r="P248" i="1"/>
  <c r="F249" i="1"/>
  <c r="H249" i="1"/>
  <c r="J249" i="1"/>
  <c r="L249" i="1"/>
  <c r="I249" i="1"/>
  <c r="K249" i="1"/>
  <c r="M249" i="1"/>
  <c r="G249" i="1"/>
  <c r="N249" i="1"/>
  <c r="O249" i="1"/>
  <c r="P249" i="1"/>
  <c r="F250" i="1"/>
  <c r="H250" i="1"/>
  <c r="J250" i="1"/>
  <c r="L250" i="1"/>
  <c r="I250" i="1"/>
  <c r="K250" i="1"/>
  <c r="M250" i="1"/>
  <c r="G250" i="1"/>
  <c r="N250" i="1"/>
  <c r="O250" i="1"/>
  <c r="P250" i="1"/>
  <c r="F251" i="1"/>
  <c r="H251" i="1"/>
  <c r="J251" i="1"/>
  <c r="L251" i="1"/>
  <c r="I251" i="1"/>
  <c r="K251" i="1"/>
  <c r="M251" i="1"/>
  <c r="G251" i="1"/>
  <c r="N251" i="1"/>
  <c r="O251" i="1"/>
  <c r="P251" i="1"/>
  <c r="F252" i="1"/>
  <c r="H252" i="1"/>
  <c r="J252" i="1"/>
  <c r="L252" i="1"/>
  <c r="I252" i="1"/>
  <c r="K252" i="1"/>
  <c r="M252" i="1"/>
  <c r="G252" i="1"/>
  <c r="N252" i="1"/>
  <c r="O252" i="1"/>
  <c r="P252" i="1"/>
  <c r="F253" i="1"/>
  <c r="H253" i="1"/>
  <c r="J253" i="1"/>
  <c r="L253" i="1"/>
  <c r="I253" i="1"/>
  <c r="K253" i="1"/>
  <c r="M253" i="1"/>
  <c r="G253" i="1"/>
  <c r="N253" i="1"/>
  <c r="O253" i="1"/>
  <c r="P253" i="1"/>
  <c r="F254" i="1"/>
  <c r="H254" i="1"/>
  <c r="J254" i="1"/>
  <c r="L254" i="1"/>
  <c r="I254" i="1"/>
  <c r="K254" i="1"/>
  <c r="M254" i="1"/>
  <c r="G254" i="1"/>
  <c r="N254" i="1"/>
  <c r="O254" i="1"/>
  <c r="P254" i="1"/>
  <c r="F255" i="1"/>
  <c r="H255" i="1"/>
  <c r="J255" i="1"/>
  <c r="L255" i="1"/>
  <c r="I255" i="1"/>
  <c r="K255" i="1"/>
  <c r="M255" i="1"/>
  <c r="G255" i="1"/>
  <c r="N255" i="1"/>
  <c r="O255" i="1"/>
  <c r="P255" i="1"/>
  <c r="F256" i="1"/>
  <c r="H256" i="1"/>
  <c r="J256" i="1"/>
  <c r="L256" i="1"/>
  <c r="I256" i="1"/>
  <c r="K256" i="1"/>
  <c r="M256" i="1"/>
  <c r="G256" i="1"/>
  <c r="N256" i="1"/>
  <c r="O256" i="1"/>
  <c r="P256" i="1"/>
  <c r="F257" i="1"/>
  <c r="H257" i="1"/>
  <c r="J257" i="1"/>
  <c r="L257" i="1"/>
  <c r="I257" i="1"/>
  <c r="K257" i="1"/>
  <c r="M257" i="1"/>
  <c r="G257" i="1"/>
  <c r="N257" i="1"/>
  <c r="O257" i="1"/>
  <c r="P257" i="1"/>
  <c r="F258" i="1"/>
  <c r="H258" i="1"/>
  <c r="J258" i="1"/>
  <c r="L258" i="1"/>
  <c r="I258" i="1"/>
  <c r="K258" i="1"/>
  <c r="M258" i="1"/>
  <c r="G258" i="1"/>
  <c r="N258" i="1"/>
  <c r="O258" i="1"/>
  <c r="P258" i="1"/>
  <c r="F259" i="1"/>
  <c r="G259" i="1"/>
  <c r="H259" i="1"/>
  <c r="I259" i="1"/>
  <c r="J259" i="1"/>
  <c r="K259" i="1"/>
  <c r="L259" i="1"/>
  <c r="M259" i="1"/>
  <c r="N259" i="1"/>
  <c r="O259" i="1"/>
  <c r="P259" i="1"/>
  <c r="E260" i="1"/>
  <c r="F260" i="1"/>
  <c r="G260" i="1"/>
  <c r="H260" i="1"/>
  <c r="I260" i="1"/>
  <c r="J260" i="1"/>
  <c r="K260" i="1"/>
  <c r="L260" i="1"/>
  <c r="M260" i="1"/>
  <c r="N260" i="1"/>
  <c r="O260" i="1"/>
  <c r="P260" i="1"/>
  <c r="E261" i="1"/>
  <c r="F261" i="1"/>
  <c r="G261" i="1"/>
  <c r="H261" i="1"/>
  <c r="I261" i="1"/>
  <c r="J261" i="1"/>
  <c r="K261" i="1"/>
  <c r="L261" i="1"/>
  <c r="M261" i="1"/>
  <c r="N261" i="1"/>
  <c r="O261" i="1"/>
  <c r="P261" i="1"/>
  <c r="E262" i="1"/>
  <c r="F262" i="1"/>
  <c r="G262" i="1"/>
  <c r="H262" i="1"/>
  <c r="I262" i="1"/>
  <c r="J262" i="1"/>
  <c r="K262" i="1"/>
  <c r="L262" i="1"/>
  <c r="M262" i="1"/>
  <c r="N262" i="1"/>
  <c r="O262" i="1"/>
  <c r="P262" i="1"/>
  <c r="E263" i="1"/>
  <c r="F263" i="1"/>
  <c r="G263" i="1"/>
  <c r="H263" i="1"/>
  <c r="I263" i="1"/>
  <c r="J263" i="1"/>
  <c r="K263" i="1"/>
  <c r="L263" i="1"/>
  <c r="M263" i="1"/>
  <c r="N263" i="1"/>
  <c r="O263" i="1"/>
  <c r="P263" i="1"/>
  <c r="E264" i="1"/>
  <c r="F264" i="1"/>
  <c r="G264" i="1"/>
  <c r="H264" i="1"/>
  <c r="I264" i="1"/>
  <c r="J264" i="1"/>
  <c r="K264" i="1"/>
  <c r="L264" i="1"/>
  <c r="M264" i="1"/>
  <c r="N264" i="1"/>
  <c r="O264" i="1"/>
  <c r="P264" i="1"/>
  <c r="E265" i="1"/>
  <c r="F265" i="1"/>
  <c r="G265" i="1"/>
  <c r="H265" i="1"/>
  <c r="I265" i="1"/>
  <c r="J265" i="1"/>
  <c r="K265" i="1"/>
  <c r="L265" i="1"/>
  <c r="M265" i="1"/>
  <c r="N265" i="1"/>
  <c r="O265" i="1"/>
  <c r="P265" i="1"/>
  <c r="E266" i="1"/>
  <c r="F266" i="1"/>
  <c r="G266" i="1"/>
  <c r="H266" i="1"/>
  <c r="I266" i="1"/>
  <c r="J266" i="1"/>
  <c r="K266" i="1"/>
  <c r="L266" i="1"/>
  <c r="M266" i="1"/>
  <c r="N266" i="1"/>
  <c r="O266" i="1"/>
  <c r="P266" i="1"/>
  <c r="E267" i="1"/>
  <c r="F267" i="1"/>
  <c r="G267" i="1"/>
  <c r="H267" i="1"/>
  <c r="I267" i="1"/>
  <c r="J267" i="1"/>
  <c r="K267" i="1"/>
  <c r="L267" i="1"/>
  <c r="M267" i="1"/>
  <c r="N267" i="1"/>
  <c r="O267" i="1"/>
  <c r="P267" i="1"/>
  <c r="E268" i="1"/>
  <c r="F268" i="1"/>
  <c r="G268" i="1"/>
  <c r="H268" i="1"/>
  <c r="I268" i="1"/>
  <c r="J268" i="1"/>
  <c r="K268" i="1"/>
  <c r="L268" i="1"/>
  <c r="M268" i="1"/>
  <c r="N268" i="1"/>
  <c r="O268" i="1"/>
  <c r="P268" i="1"/>
  <c r="E269" i="1"/>
  <c r="F269" i="1"/>
  <c r="G269" i="1"/>
  <c r="H269" i="1"/>
  <c r="I269" i="1"/>
  <c r="J269" i="1"/>
  <c r="K269" i="1"/>
  <c r="L269" i="1"/>
  <c r="M269" i="1"/>
  <c r="N269" i="1"/>
  <c r="O269" i="1"/>
  <c r="P269" i="1"/>
  <c r="E270" i="1"/>
  <c r="F270" i="1"/>
  <c r="G270" i="1"/>
  <c r="H270" i="1"/>
  <c r="I270" i="1"/>
  <c r="J270" i="1"/>
  <c r="K270" i="1"/>
  <c r="L270" i="1"/>
  <c r="M270" i="1"/>
  <c r="N270" i="1"/>
  <c r="O270" i="1"/>
  <c r="P270" i="1"/>
  <c r="E271" i="1"/>
  <c r="F271" i="1"/>
  <c r="G271" i="1"/>
  <c r="H271" i="1"/>
  <c r="I271" i="1"/>
  <c r="J271" i="1"/>
  <c r="K271" i="1"/>
  <c r="L271" i="1"/>
  <c r="M271" i="1"/>
  <c r="N271" i="1"/>
  <c r="O271" i="1"/>
  <c r="P271" i="1"/>
  <c r="E272" i="1"/>
  <c r="F272" i="1"/>
  <c r="G272" i="1"/>
  <c r="H272" i="1"/>
  <c r="I272" i="1"/>
  <c r="J272" i="1"/>
  <c r="K272" i="1"/>
  <c r="L272" i="1"/>
  <c r="M272" i="1"/>
  <c r="N272" i="1"/>
  <c r="O272" i="1"/>
  <c r="P272" i="1"/>
  <c r="E273" i="1"/>
  <c r="F273" i="1"/>
  <c r="G273" i="1"/>
  <c r="H273" i="1"/>
  <c r="I273" i="1"/>
  <c r="J273" i="1"/>
  <c r="K273" i="1"/>
  <c r="L273" i="1"/>
  <c r="M273" i="1"/>
  <c r="N273" i="1"/>
  <c r="O273" i="1"/>
  <c r="P273" i="1"/>
  <c r="E274" i="1"/>
  <c r="F274" i="1"/>
  <c r="G274" i="1"/>
  <c r="H274" i="1"/>
  <c r="I274" i="1"/>
  <c r="J274" i="1"/>
  <c r="K274" i="1"/>
  <c r="L274" i="1"/>
  <c r="M274" i="1"/>
  <c r="N274" i="1"/>
  <c r="O274" i="1"/>
  <c r="P274" i="1"/>
  <c r="E275" i="1"/>
  <c r="F275" i="1"/>
  <c r="G275" i="1"/>
  <c r="H275" i="1"/>
  <c r="I275" i="1"/>
  <c r="J275" i="1"/>
  <c r="K275" i="1"/>
  <c r="L275" i="1"/>
  <c r="M275" i="1"/>
  <c r="N275" i="1"/>
  <c r="O275" i="1"/>
  <c r="P275" i="1"/>
  <c r="E276" i="1"/>
  <c r="F276" i="1"/>
  <c r="G276" i="1"/>
  <c r="H276" i="1"/>
  <c r="I276" i="1"/>
  <c r="J276" i="1"/>
  <c r="K276" i="1"/>
  <c r="L276" i="1"/>
  <c r="M276" i="1"/>
  <c r="N276" i="1"/>
  <c r="O276" i="1"/>
  <c r="P276" i="1"/>
  <c r="E277" i="1"/>
  <c r="F277" i="1"/>
  <c r="G277" i="1"/>
  <c r="H277" i="1"/>
  <c r="I277" i="1"/>
  <c r="J277" i="1"/>
  <c r="K277" i="1"/>
  <c r="L277" i="1"/>
  <c r="M277" i="1"/>
  <c r="N277" i="1"/>
  <c r="O277" i="1"/>
  <c r="P277" i="1"/>
  <c r="E278" i="1"/>
  <c r="F278" i="1"/>
  <c r="G278" i="1"/>
  <c r="H278" i="1"/>
  <c r="I278" i="1"/>
  <c r="J278" i="1"/>
  <c r="K278" i="1"/>
  <c r="L278" i="1"/>
  <c r="M278" i="1"/>
  <c r="N278" i="1"/>
  <c r="O278" i="1"/>
  <c r="P278" i="1"/>
  <c r="E279" i="1"/>
  <c r="F279" i="1"/>
  <c r="G279" i="1"/>
  <c r="H279" i="1"/>
  <c r="I279" i="1"/>
  <c r="J279" i="1"/>
  <c r="K279" i="1"/>
  <c r="L279" i="1"/>
  <c r="M279" i="1"/>
  <c r="N279" i="1"/>
  <c r="O279" i="1"/>
  <c r="P279" i="1"/>
  <c r="E280" i="1"/>
  <c r="F280" i="1"/>
  <c r="G280" i="1"/>
  <c r="H280" i="1"/>
  <c r="I280" i="1"/>
  <c r="J280" i="1"/>
  <c r="K280" i="1"/>
  <c r="L280" i="1"/>
  <c r="M280" i="1"/>
  <c r="N280" i="1"/>
  <c r="O280" i="1"/>
  <c r="P280" i="1"/>
  <c r="E281" i="1"/>
  <c r="F281" i="1"/>
  <c r="G281" i="1"/>
  <c r="H281" i="1"/>
  <c r="I281" i="1"/>
  <c r="J281" i="1"/>
  <c r="K281" i="1"/>
  <c r="L281" i="1"/>
  <c r="M281" i="1"/>
  <c r="N281" i="1"/>
  <c r="O281" i="1"/>
  <c r="P281" i="1"/>
  <c r="E282" i="1"/>
  <c r="F282" i="1"/>
  <c r="G282" i="1"/>
  <c r="H282" i="1"/>
  <c r="I282" i="1"/>
  <c r="J282" i="1"/>
  <c r="K282" i="1"/>
  <c r="L282" i="1"/>
  <c r="M282" i="1"/>
  <c r="N282" i="1"/>
  <c r="O282" i="1"/>
  <c r="P282" i="1"/>
  <c r="E283" i="1"/>
  <c r="F283" i="1"/>
  <c r="G283" i="1"/>
  <c r="H283" i="1"/>
  <c r="I283" i="1"/>
  <c r="J283" i="1"/>
  <c r="K283" i="1"/>
  <c r="L283" i="1"/>
  <c r="M283" i="1"/>
  <c r="N283" i="1"/>
  <c r="O283" i="1"/>
  <c r="P283" i="1"/>
  <c r="E284" i="1"/>
  <c r="F284" i="1"/>
  <c r="G284" i="1"/>
  <c r="H284" i="1"/>
  <c r="I284" i="1"/>
  <c r="J284" i="1"/>
  <c r="K284" i="1"/>
  <c r="L284" i="1"/>
  <c r="M284" i="1"/>
  <c r="N284" i="1"/>
  <c r="O284" i="1"/>
  <c r="P284" i="1"/>
  <c r="E285" i="1"/>
  <c r="F285" i="1"/>
  <c r="G285" i="1"/>
  <c r="H285" i="1"/>
  <c r="I285" i="1"/>
  <c r="J285" i="1"/>
  <c r="K285" i="1"/>
  <c r="L285" i="1"/>
  <c r="M285" i="1"/>
  <c r="N285" i="1"/>
  <c r="O285" i="1"/>
  <c r="P285" i="1"/>
  <c r="E286" i="1"/>
  <c r="F286" i="1"/>
  <c r="G286" i="1"/>
  <c r="H286" i="1"/>
  <c r="I286" i="1"/>
  <c r="J286" i="1"/>
  <c r="K286" i="1"/>
  <c r="L286" i="1"/>
  <c r="M286" i="1"/>
  <c r="N286" i="1"/>
  <c r="O286" i="1"/>
  <c r="P286" i="1"/>
  <c r="E287" i="1"/>
  <c r="F287" i="1"/>
  <c r="G287" i="1"/>
  <c r="H287" i="1"/>
  <c r="I287" i="1"/>
  <c r="J287" i="1"/>
  <c r="K287" i="1"/>
  <c r="L287" i="1"/>
  <c r="M287" i="1"/>
  <c r="N287" i="1"/>
  <c r="O287" i="1"/>
  <c r="P287" i="1"/>
  <c r="E288" i="1"/>
  <c r="F288" i="1"/>
  <c r="G288" i="1"/>
  <c r="H288" i="1"/>
  <c r="I288" i="1"/>
  <c r="J288" i="1"/>
  <c r="K288" i="1"/>
  <c r="L288" i="1"/>
  <c r="M288" i="1"/>
  <c r="N288" i="1"/>
  <c r="O288" i="1"/>
  <c r="P288" i="1"/>
  <c r="E289" i="1"/>
  <c r="F289" i="1"/>
  <c r="G289" i="1"/>
  <c r="H289" i="1"/>
  <c r="I289" i="1"/>
  <c r="J289" i="1"/>
  <c r="K289" i="1"/>
  <c r="L289" i="1"/>
  <c r="M289" i="1"/>
  <c r="N289" i="1"/>
  <c r="O289" i="1"/>
  <c r="P289" i="1"/>
  <c r="E290" i="1"/>
  <c r="F290" i="1"/>
  <c r="G290" i="1"/>
  <c r="H290" i="1"/>
  <c r="I290" i="1"/>
  <c r="J290" i="1"/>
  <c r="K290" i="1"/>
  <c r="L290" i="1"/>
  <c r="M290" i="1"/>
  <c r="N290" i="1"/>
  <c r="O290" i="1"/>
  <c r="P290" i="1"/>
  <c r="E291" i="1"/>
  <c r="F291" i="1"/>
  <c r="G291" i="1"/>
  <c r="H291" i="1"/>
  <c r="I291" i="1"/>
  <c r="J291" i="1"/>
  <c r="K291" i="1"/>
  <c r="L291" i="1"/>
  <c r="M291" i="1"/>
  <c r="N291" i="1"/>
  <c r="O291" i="1"/>
  <c r="P291" i="1"/>
  <c r="E292" i="1"/>
  <c r="F292" i="1"/>
  <c r="G292" i="1"/>
  <c r="H292" i="1"/>
  <c r="I292" i="1"/>
  <c r="J292" i="1"/>
  <c r="K292" i="1"/>
  <c r="L292" i="1"/>
  <c r="M292" i="1"/>
  <c r="N292" i="1"/>
  <c r="O292" i="1"/>
  <c r="P292" i="1"/>
  <c r="E293" i="1"/>
  <c r="F293" i="1"/>
  <c r="G293" i="1"/>
  <c r="H293" i="1"/>
  <c r="I293" i="1"/>
  <c r="J293" i="1"/>
  <c r="K293" i="1"/>
  <c r="L293" i="1"/>
  <c r="M293" i="1"/>
  <c r="N293" i="1"/>
  <c r="O293" i="1"/>
  <c r="P293" i="1"/>
  <c r="E294" i="1"/>
  <c r="F294" i="1"/>
  <c r="G294" i="1"/>
  <c r="H294" i="1"/>
  <c r="I294" i="1"/>
  <c r="J294" i="1"/>
  <c r="K294" i="1"/>
  <c r="L294" i="1"/>
  <c r="M294" i="1"/>
  <c r="N294" i="1"/>
  <c r="O294" i="1"/>
  <c r="P294" i="1"/>
  <c r="E295" i="1"/>
  <c r="F295" i="1"/>
  <c r="G295" i="1"/>
  <c r="H295" i="1"/>
  <c r="I295" i="1"/>
  <c r="J295" i="1"/>
  <c r="K295" i="1"/>
  <c r="L295" i="1"/>
  <c r="M295" i="1"/>
  <c r="N295" i="1"/>
  <c r="O295" i="1"/>
  <c r="P295" i="1"/>
  <c r="E296" i="1"/>
  <c r="F296" i="1"/>
  <c r="G296" i="1"/>
  <c r="H296" i="1"/>
  <c r="I296" i="1"/>
  <c r="J296" i="1"/>
  <c r="K296" i="1"/>
  <c r="L296" i="1"/>
  <c r="M296" i="1"/>
  <c r="N296" i="1"/>
  <c r="O296" i="1"/>
  <c r="P296" i="1"/>
  <c r="E297" i="1"/>
  <c r="F297" i="1"/>
  <c r="G297" i="1"/>
  <c r="H297" i="1"/>
  <c r="I297" i="1"/>
  <c r="J297" i="1"/>
  <c r="K297" i="1"/>
  <c r="L297" i="1"/>
  <c r="M297" i="1"/>
  <c r="N297" i="1"/>
  <c r="O297" i="1"/>
  <c r="P297" i="1"/>
  <c r="E298" i="1"/>
  <c r="F298" i="1"/>
  <c r="G298" i="1"/>
  <c r="H298" i="1"/>
  <c r="I298" i="1"/>
  <c r="J298" i="1"/>
  <c r="K298" i="1"/>
  <c r="L298" i="1"/>
  <c r="M298" i="1"/>
  <c r="N298" i="1"/>
  <c r="O298" i="1"/>
  <c r="P298" i="1"/>
  <c r="E299" i="1"/>
  <c r="F299" i="1"/>
  <c r="G299" i="1"/>
  <c r="H299" i="1"/>
  <c r="I299" i="1"/>
  <c r="J299" i="1"/>
  <c r="K299" i="1"/>
  <c r="L299" i="1"/>
  <c r="M299" i="1"/>
  <c r="N299" i="1"/>
  <c r="O299" i="1"/>
  <c r="P299" i="1"/>
  <c r="E300" i="1"/>
  <c r="F300" i="1"/>
  <c r="G300" i="1"/>
  <c r="H300" i="1"/>
  <c r="I300" i="1"/>
  <c r="J300" i="1"/>
  <c r="K300" i="1"/>
  <c r="L300" i="1"/>
  <c r="M300" i="1"/>
  <c r="N300" i="1"/>
  <c r="O300" i="1"/>
  <c r="P300" i="1"/>
  <c r="E301" i="1"/>
  <c r="F301" i="1"/>
  <c r="G301" i="1"/>
  <c r="H301" i="1"/>
  <c r="I301" i="1"/>
  <c r="J301" i="1"/>
  <c r="K301" i="1"/>
  <c r="L301" i="1"/>
  <c r="M301" i="1"/>
  <c r="N301" i="1"/>
  <c r="O301" i="1"/>
  <c r="P301" i="1"/>
  <c r="E302" i="1"/>
  <c r="F302" i="1"/>
  <c r="G302" i="1"/>
  <c r="H302" i="1"/>
  <c r="I302" i="1"/>
  <c r="J302" i="1"/>
  <c r="K302" i="1"/>
  <c r="L302" i="1"/>
  <c r="M302" i="1"/>
  <c r="N302" i="1"/>
  <c r="O302" i="1"/>
  <c r="P302" i="1"/>
  <c r="E303" i="1"/>
  <c r="F303" i="1"/>
  <c r="G303" i="1"/>
  <c r="H303" i="1"/>
  <c r="I303" i="1"/>
  <c r="J303" i="1"/>
  <c r="K303" i="1"/>
  <c r="L303" i="1"/>
  <c r="M303" i="1"/>
  <c r="N303" i="1"/>
  <c r="O303" i="1"/>
  <c r="P303" i="1"/>
  <c r="E304" i="1"/>
  <c r="F304" i="1"/>
  <c r="G304" i="1"/>
  <c r="H304" i="1"/>
  <c r="I304" i="1"/>
  <c r="J304" i="1"/>
  <c r="K304" i="1"/>
  <c r="L304" i="1"/>
  <c r="M304" i="1"/>
  <c r="N304" i="1"/>
  <c r="O304" i="1"/>
  <c r="P304" i="1"/>
  <c r="E305" i="1"/>
  <c r="F305" i="1"/>
  <c r="G305" i="1"/>
  <c r="H305" i="1"/>
  <c r="I305" i="1"/>
  <c r="J305" i="1"/>
  <c r="K305" i="1"/>
  <c r="L305" i="1"/>
  <c r="M305" i="1"/>
  <c r="N305" i="1"/>
  <c r="O305" i="1"/>
  <c r="P305" i="1"/>
  <c r="E306" i="1"/>
  <c r="F306" i="1"/>
  <c r="G306" i="1"/>
  <c r="H306" i="1"/>
  <c r="I306" i="1"/>
  <c r="J306" i="1"/>
  <c r="K306" i="1"/>
  <c r="L306" i="1"/>
  <c r="M306" i="1"/>
  <c r="N306" i="1"/>
  <c r="O306" i="1"/>
  <c r="P306" i="1"/>
  <c r="E307" i="1"/>
  <c r="F307" i="1"/>
  <c r="G307" i="1"/>
  <c r="H307" i="1"/>
  <c r="I307" i="1"/>
  <c r="J307" i="1"/>
  <c r="K307" i="1"/>
  <c r="L307" i="1"/>
  <c r="M307" i="1"/>
  <c r="N307" i="1"/>
  <c r="O307" i="1"/>
  <c r="P307" i="1"/>
  <c r="E308" i="1"/>
  <c r="F308" i="1"/>
  <c r="G308" i="1"/>
  <c r="H308" i="1"/>
  <c r="I308" i="1"/>
  <c r="J308" i="1"/>
  <c r="K308" i="1"/>
  <c r="L308" i="1"/>
  <c r="M308" i="1"/>
  <c r="N308" i="1"/>
  <c r="O308" i="1"/>
  <c r="P308" i="1"/>
  <c r="E309" i="1"/>
  <c r="F309" i="1"/>
  <c r="G309" i="1"/>
  <c r="H309" i="1"/>
  <c r="I309" i="1"/>
  <c r="J309" i="1"/>
  <c r="K309" i="1"/>
  <c r="L309" i="1"/>
  <c r="M309" i="1"/>
  <c r="N309" i="1"/>
  <c r="O309" i="1"/>
  <c r="P309" i="1"/>
  <c r="E310" i="1"/>
  <c r="F310" i="1"/>
  <c r="G310" i="1"/>
  <c r="H310" i="1"/>
  <c r="I310" i="1"/>
  <c r="J310" i="1"/>
  <c r="K310" i="1"/>
  <c r="L310" i="1"/>
  <c r="M310" i="1"/>
  <c r="N310" i="1"/>
  <c r="O310" i="1"/>
  <c r="P310" i="1"/>
  <c r="E311" i="1"/>
  <c r="F311" i="1"/>
  <c r="G311" i="1"/>
  <c r="H311" i="1"/>
  <c r="I311" i="1"/>
  <c r="J311" i="1"/>
  <c r="K311" i="1"/>
  <c r="L311" i="1"/>
  <c r="M311" i="1"/>
  <c r="N311" i="1"/>
  <c r="O311" i="1"/>
  <c r="P311" i="1"/>
  <c r="E312" i="1"/>
  <c r="F312" i="1"/>
  <c r="G312" i="1"/>
  <c r="H312" i="1"/>
  <c r="I312" i="1"/>
  <c r="J312" i="1"/>
  <c r="K312" i="1"/>
  <c r="L312" i="1"/>
  <c r="M312" i="1"/>
  <c r="N312" i="1"/>
  <c r="O312" i="1"/>
  <c r="P312" i="1"/>
  <c r="E313" i="1"/>
  <c r="F313" i="1"/>
  <c r="G313" i="1"/>
  <c r="H313" i="1"/>
  <c r="I313" i="1"/>
  <c r="J313" i="1"/>
  <c r="K313" i="1"/>
  <c r="L313" i="1"/>
  <c r="M313" i="1"/>
  <c r="N313" i="1"/>
  <c r="O313" i="1"/>
  <c r="P313" i="1"/>
  <c r="E314" i="1"/>
  <c r="F314" i="1"/>
  <c r="G314" i="1"/>
  <c r="H314" i="1"/>
  <c r="I314" i="1"/>
  <c r="J314" i="1"/>
  <c r="K314" i="1"/>
  <c r="L314" i="1"/>
  <c r="M314" i="1"/>
  <c r="N314" i="1"/>
  <c r="O314" i="1"/>
  <c r="P314" i="1"/>
  <c r="E315" i="1"/>
  <c r="F315" i="1"/>
  <c r="G315" i="1"/>
  <c r="H315" i="1"/>
  <c r="I315" i="1"/>
  <c r="J315" i="1"/>
  <c r="K315" i="1"/>
  <c r="L315" i="1"/>
  <c r="M315" i="1"/>
  <c r="N315" i="1"/>
  <c r="O315" i="1"/>
  <c r="P315" i="1"/>
  <c r="E316" i="1"/>
  <c r="F316" i="1"/>
  <c r="G316" i="1"/>
  <c r="H316" i="1"/>
  <c r="I316" i="1"/>
  <c r="J316" i="1"/>
  <c r="K316" i="1"/>
  <c r="L316" i="1"/>
  <c r="M316" i="1"/>
  <c r="N316" i="1"/>
  <c r="O316" i="1"/>
  <c r="P316" i="1"/>
  <c r="E317" i="1"/>
  <c r="F317" i="1"/>
  <c r="G317" i="1"/>
  <c r="H317" i="1"/>
  <c r="I317" i="1"/>
  <c r="J317" i="1"/>
  <c r="K317" i="1"/>
  <c r="L317" i="1"/>
  <c r="M317" i="1"/>
  <c r="N317" i="1"/>
  <c r="O317" i="1"/>
  <c r="P317" i="1"/>
  <c r="E318" i="1"/>
  <c r="F318" i="1"/>
  <c r="G318" i="1"/>
  <c r="H318" i="1"/>
  <c r="I318" i="1"/>
  <c r="J318" i="1"/>
  <c r="K318" i="1"/>
  <c r="L318" i="1"/>
  <c r="M318" i="1"/>
  <c r="N318" i="1"/>
  <c r="O318" i="1"/>
  <c r="P318" i="1"/>
  <c r="E319" i="1"/>
  <c r="F319" i="1"/>
  <c r="G319" i="1"/>
  <c r="H319" i="1"/>
  <c r="I319" i="1"/>
  <c r="J319" i="1"/>
  <c r="K319" i="1"/>
  <c r="L319" i="1"/>
  <c r="M319" i="1"/>
  <c r="N319" i="1"/>
  <c r="O319" i="1"/>
  <c r="P319" i="1"/>
  <c r="E320" i="1"/>
  <c r="F320" i="1"/>
  <c r="G320" i="1"/>
  <c r="H320" i="1"/>
  <c r="I320" i="1"/>
  <c r="J320" i="1"/>
  <c r="K320" i="1"/>
  <c r="L320" i="1"/>
  <c r="M320" i="1"/>
  <c r="N320" i="1"/>
  <c r="O320" i="1"/>
  <c r="P320" i="1"/>
  <c r="E321" i="1"/>
  <c r="F321" i="1"/>
  <c r="G321" i="1"/>
  <c r="H321" i="1"/>
  <c r="I321" i="1"/>
  <c r="J321" i="1"/>
  <c r="K321" i="1"/>
  <c r="L321" i="1"/>
  <c r="M321" i="1"/>
  <c r="N321" i="1"/>
  <c r="O321" i="1"/>
  <c r="P321" i="1"/>
  <c r="E322" i="1"/>
  <c r="F322" i="1"/>
  <c r="G322" i="1"/>
  <c r="H322" i="1"/>
  <c r="I322" i="1"/>
  <c r="J322" i="1"/>
  <c r="K322" i="1"/>
  <c r="L322" i="1"/>
  <c r="M322" i="1"/>
  <c r="N322" i="1"/>
  <c r="O322" i="1"/>
  <c r="P322" i="1"/>
  <c r="E323" i="1"/>
  <c r="F323" i="1"/>
  <c r="G323" i="1"/>
  <c r="H323" i="1"/>
  <c r="I323" i="1"/>
  <c r="J323" i="1"/>
  <c r="K323" i="1"/>
  <c r="L323" i="1"/>
  <c r="M323" i="1"/>
  <c r="N323" i="1"/>
  <c r="O323" i="1"/>
  <c r="P323" i="1"/>
  <c r="E324" i="1"/>
  <c r="F324" i="1"/>
  <c r="G324" i="1"/>
  <c r="H324" i="1"/>
  <c r="I324" i="1"/>
  <c r="J324" i="1"/>
  <c r="K324" i="1"/>
  <c r="L324" i="1"/>
  <c r="M324" i="1"/>
  <c r="N324" i="1"/>
  <c r="O324" i="1"/>
  <c r="P324" i="1"/>
  <c r="E325" i="1"/>
  <c r="F325" i="1"/>
  <c r="G325" i="1"/>
  <c r="H325" i="1"/>
  <c r="I325" i="1"/>
  <c r="J325" i="1"/>
  <c r="K325" i="1"/>
  <c r="L325" i="1"/>
  <c r="M325" i="1"/>
  <c r="N325" i="1"/>
  <c r="O325" i="1"/>
  <c r="P325" i="1"/>
  <c r="E326" i="1"/>
  <c r="F326" i="1"/>
  <c r="G326" i="1"/>
  <c r="H326" i="1"/>
  <c r="I326" i="1"/>
  <c r="J326" i="1"/>
  <c r="K326" i="1"/>
  <c r="L326" i="1"/>
  <c r="M326" i="1"/>
  <c r="N326" i="1"/>
  <c r="O326" i="1"/>
  <c r="P326" i="1"/>
  <c r="E327" i="1"/>
  <c r="F327" i="1"/>
  <c r="G327" i="1"/>
  <c r="H327" i="1"/>
  <c r="I327" i="1"/>
  <c r="J327" i="1"/>
  <c r="K327" i="1"/>
  <c r="L327" i="1"/>
  <c r="M327" i="1"/>
  <c r="N327" i="1"/>
  <c r="O327" i="1"/>
  <c r="P327" i="1"/>
  <c r="E328" i="1"/>
  <c r="F328" i="1"/>
  <c r="G328" i="1"/>
  <c r="H328" i="1"/>
  <c r="I328" i="1"/>
  <c r="J328" i="1"/>
  <c r="K328" i="1"/>
  <c r="L328" i="1"/>
  <c r="M328" i="1"/>
  <c r="N328" i="1"/>
  <c r="O328" i="1"/>
  <c r="P328" i="1"/>
  <c r="E329" i="1"/>
  <c r="F329" i="1"/>
  <c r="G329" i="1"/>
  <c r="H329" i="1"/>
  <c r="I329" i="1"/>
  <c r="J329" i="1"/>
  <c r="K329" i="1"/>
  <c r="L329" i="1"/>
  <c r="M329" i="1"/>
  <c r="N329" i="1"/>
  <c r="O329" i="1"/>
  <c r="P329" i="1"/>
  <c r="E330" i="1"/>
  <c r="F330" i="1"/>
  <c r="G330" i="1"/>
  <c r="H330" i="1"/>
  <c r="I330" i="1"/>
  <c r="J330" i="1"/>
  <c r="K330" i="1"/>
  <c r="L330" i="1"/>
  <c r="M330" i="1"/>
  <c r="N330" i="1"/>
  <c r="O330" i="1"/>
  <c r="P330" i="1"/>
  <c r="E331" i="1"/>
  <c r="F331" i="1"/>
  <c r="G331" i="1"/>
  <c r="H331" i="1"/>
  <c r="I331" i="1"/>
  <c r="J331" i="1"/>
  <c r="K331" i="1"/>
  <c r="L331" i="1"/>
  <c r="M331" i="1"/>
  <c r="N331" i="1"/>
  <c r="O331" i="1"/>
  <c r="P331" i="1"/>
  <c r="E332" i="1"/>
  <c r="F332" i="1"/>
  <c r="G332" i="1"/>
  <c r="H332" i="1"/>
  <c r="I332" i="1"/>
  <c r="J332" i="1"/>
  <c r="K332" i="1"/>
  <c r="L332" i="1"/>
  <c r="M332" i="1"/>
  <c r="N332" i="1"/>
  <c r="O332" i="1"/>
  <c r="P332" i="1"/>
  <c r="E333" i="1"/>
  <c r="F333" i="1"/>
  <c r="G333" i="1"/>
  <c r="H333" i="1"/>
  <c r="I333" i="1"/>
  <c r="J333" i="1"/>
  <c r="K333" i="1"/>
  <c r="L333" i="1"/>
  <c r="M333" i="1"/>
  <c r="N333" i="1"/>
  <c r="O333" i="1"/>
  <c r="P333" i="1"/>
  <c r="E334" i="1"/>
  <c r="F334" i="1"/>
  <c r="G334" i="1"/>
  <c r="H334" i="1"/>
  <c r="I334" i="1"/>
  <c r="J334" i="1"/>
  <c r="K334" i="1"/>
  <c r="L334" i="1"/>
  <c r="M334" i="1"/>
  <c r="N334" i="1"/>
  <c r="O334" i="1"/>
  <c r="P334" i="1"/>
  <c r="E335" i="1"/>
  <c r="F335" i="1"/>
  <c r="G335" i="1"/>
  <c r="H335" i="1"/>
  <c r="I335" i="1"/>
  <c r="J335" i="1"/>
  <c r="K335" i="1"/>
  <c r="L335" i="1"/>
  <c r="M335" i="1"/>
  <c r="N335" i="1"/>
  <c r="O335" i="1"/>
  <c r="P335" i="1"/>
  <c r="E336" i="1"/>
  <c r="F336" i="1"/>
  <c r="G336" i="1"/>
  <c r="H336" i="1"/>
  <c r="I336" i="1"/>
  <c r="J336" i="1"/>
  <c r="K336" i="1"/>
  <c r="L336" i="1"/>
  <c r="M336" i="1"/>
  <c r="N336" i="1"/>
  <c r="O336" i="1"/>
  <c r="P336" i="1"/>
  <c r="E337" i="1"/>
  <c r="F337" i="1"/>
  <c r="G337" i="1"/>
  <c r="H337" i="1"/>
  <c r="I337" i="1"/>
  <c r="J337" i="1"/>
  <c r="K337" i="1"/>
  <c r="L337" i="1"/>
  <c r="M337" i="1"/>
  <c r="N337" i="1"/>
  <c r="O337" i="1"/>
  <c r="P337" i="1"/>
  <c r="E338" i="1"/>
  <c r="F338" i="1"/>
  <c r="G338" i="1"/>
  <c r="H338" i="1"/>
  <c r="I338" i="1"/>
  <c r="J338" i="1"/>
  <c r="K338" i="1"/>
  <c r="L338" i="1"/>
  <c r="M338" i="1"/>
  <c r="N338" i="1"/>
  <c r="O338" i="1"/>
  <c r="P338" i="1"/>
  <c r="E339" i="1"/>
  <c r="F339" i="1"/>
  <c r="G339" i="1"/>
  <c r="H339" i="1"/>
  <c r="I339" i="1"/>
  <c r="J339" i="1"/>
  <c r="K339" i="1"/>
  <c r="L339" i="1"/>
  <c r="M339" i="1"/>
  <c r="N339" i="1"/>
  <c r="O339" i="1"/>
  <c r="P339" i="1"/>
  <c r="E340" i="1"/>
  <c r="F340" i="1"/>
  <c r="G340" i="1"/>
  <c r="H340" i="1"/>
  <c r="I340" i="1"/>
  <c r="J340" i="1"/>
  <c r="K340" i="1"/>
  <c r="L340" i="1"/>
  <c r="M340" i="1"/>
  <c r="N340" i="1"/>
  <c r="O340" i="1"/>
  <c r="P340" i="1"/>
  <c r="E341" i="1"/>
  <c r="F341" i="1"/>
  <c r="G341" i="1"/>
  <c r="H341" i="1"/>
  <c r="I341" i="1"/>
  <c r="J341" i="1"/>
  <c r="K341" i="1"/>
  <c r="L341" i="1"/>
  <c r="M341" i="1"/>
  <c r="N341" i="1"/>
  <c r="O341" i="1"/>
  <c r="P341" i="1"/>
  <c r="E342" i="1"/>
  <c r="F342" i="1"/>
  <c r="G342" i="1"/>
  <c r="H342" i="1"/>
  <c r="I342" i="1"/>
  <c r="J342" i="1"/>
  <c r="K342" i="1"/>
  <c r="L342" i="1"/>
  <c r="M342" i="1"/>
  <c r="N342" i="1"/>
  <c r="O342" i="1"/>
  <c r="P342" i="1"/>
  <c r="E343" i="1"/>
  <c r="F343" i="1"/>
  <c r="G343" i="1"/>
  <c r="H343" i="1"/>
  <c r="I343" i="1"/>
  <c r="J343" i="1"/>
  <c r="K343" i="1"/>
  <c r="L343" i="1"/>
  <c r="M343" i="1"/>
  <c r="N343" i="1"/>
  <c r="O343" i="1"/>
  <c r="P343" i="1"/>
  <c r="E344" i="1"/>
  <c r="F344" i="1"/>
  <c r="G344" i="1"/>
  <c r="H344" i="1"/>
  <c r="I344" i="1"/>
  <c r="J344" i="1"/>
  <c r="K344" i="1"/>
  <c r="L344" i="1"/>
  <c r="M344" i="1"/>
  <c r="N344" i="1"/>
  <c r="O344" i="1"/>
  <c r="P344" i="1"/>
  <c r="E345" i="1"/>
  <c r="F345" i="1"/>
  <c r="G345" i="1"/>
  <c r="H345" i="1"/>
  <c r="I345" i="1"/>
  <c r="J345" i="1"/>
  <c r="K345" i="1"/>
  <c r="L345" i="1"/>
  <c r="M345" i="1"/>
  <c r="N345" i="1"/>
  <c r="O345" i="1"/>
  <c r="P345" i="1"/>
  <c r="E346" i="1"/>
  <c r="F346" i="1"/>
  <c r="G346" i="1"/>
  <c r="H346" i="1"/>
  <c r="I346" i="1"/>
  <c r="J346" i="1"/>
  <c r="K346" i="1"/>
  <c r="L346" i="1"/>
  <c r="M346" i="1"/>
  <c r="N346" i="1"/>
  <c r="O346" i="1"/>
  <c r="P346" i="1"/>
  <c r="E347" i="1"/>
  <c r="F347" i="1"/>
  <c r="G347" i="1"/>
  <c r="H347" i="1"/>
  <c r="I347" i="1"/>
  <c r="J347" i="1"/>
  <c r="K347" i="1"/>
  <c r="L347" i="1"/>
  <c r="M347" i="1"/>
  <c r="N347" i="1"/>
  <c r="O347" i="1"/>
  <c r="P347" i="1"/>
  <c r="E348" i="1"/>
  <c r="F348" i="1"/>
  <c r="G348" i="1"/>
  <c r="H348" i="1"/>
  <c r="I348" i="1"/>
  <c r="J348" i="1"/>
  <c r="K348" i="1"/>
  <c r="L348" i="1"/>
  <c r="M348" i="1"/>
  <c r="N348" i="1"/>
  <c r="O348" i="1"/>
  <c r="P348" i="1"/>
  <c r="E349" i="1"/>
  <c r="F349" i="1"/>
  <c r="G349" i="1"/>
  <c r="H349" i="1"/>
  <c r="I349" i="1"/>
  <c r="J349" i="1"/>
  <c r="K349" i="1"/>
  <c r="L349" i="1"/>
  <c r="M349" i="1"/>
  <c r="N349" i="1"/>
  <c r="O349" i="1"/>
  <c r="P349" i="1"/>
  <c r="E350" i="1"/>
  <c r="F350" i="1"/>
  <c r="G350" i="1"/>
  <c r="H350" i="1"/>
  <c r="I350" i="1"/>
  <c r="J350" i="1"/>
  <c r="K350" i="1"/>
  <c r="L350" i="1"/>
  <c r="M350" i="1"/>
  <c r="N350" i="1"/>
  <c r="O350" i="1"/>
  <c r="P350" i="1"/>
  <c r="E351" i="1"/>
  <c r="F351" i="1"/>
  <c r="G351" i="1"/>
  <c r="H351" i="1"/>
  <c r="I351" i="1"/>
  <c r="J351" i="1"/>
  <c r="K351" i="1"/>
  <c r="L351" i="1"/>
  <c r="M351" i="1"/>
  <c r="N351" i="1"/>
  <c r="O351" i="1"/>
  <c r="P351" i="1"/>
  <c r="E352" i="1"/>
  <c r="F352" i="1"/>
  <c r="G352" i="1"/>
  <c r="H352" i="1"/>
  <c r="I352" i="1"/>
  <c r="J352" i="1"/>
  <c r="K352" i="1"/>
  <c r="L352" i="1"/>
  <c r="M352" i="1"/>
  <c r="N352" i="1"/>
  <c r="O352" i="1"/>
  <c r="P352" i="1"/>
  <c r="E353" i="1"/>
  <c r="F353" i="1"/>
  <c r="G353" i="1"/>
  <c r="H353" i="1"/>
  <c r="I353" i="1"/>
  <c r="J353" i="1"/>
  <c r="K353" i="1"/>
  <c r="L353" i="1"/>
  <c r="M353" i="1"/>
  <c r="N353" i="1"/>
  <c r="O353" i="1"/>
  <c r="P353" i="1"/>
  <c r="E354" i="1"/>
  <c r="F354" i="1"/>
  <c r="G354" i="1"/>
  <c r="H354" i="1"/>
  <c r="I354" i="1"/>
  <c r="J354" i="1"/>
  <c r="K354" i="1"/>
  <c r="L354" i="1"/>
  <c r="M354" i="1"/>
  <c r="N354" i="1"/>
  <c r="O354" i="1"/>
  <c r="P354" i="1"/>
  <c r="E355" i="1"/>
  <c r="F355" i="1"/>
  <c r="G355" i="1"/>
  <c r="H355" i="1"/>
  <c r="I355" i="1"/>
  <c r="J355" i="1"/>
  <c r="K355" i="1"/>
  <c r="L355" i="1"/>
  <c r="M355" i="1"/>
  <c r="N355" i="1"/>
  <c r="O355" i="1"/>
  <c r="P355" i="1"/>
  <c r="E356" i="1"/>
  <c r="F356" i="1"/>
  <c r="G356" i="1"/>
  <c r="H356" i="1"/>
  <c r="I356" i="1"/>
  <c r="J356" i="1"/>
  <c r="K356" i="1"/>
  <c r="L356" i="1"/>
  <c r="M356" i="1"/>
  <c r="N356" i="1"/>
  <c r="O356" i="1"/>
  <c r="P356" i="1"/>
  <c r="E357" i="1"/>
  <c r="F357" i="1"/>
  <c r="G357" i="1"/>
  <c r="H357" i="1"/>
  <c r="I357" i="1"/>
  <c r="J357" i="1"/>
  <c r="K357" i="1"/>
  <c r="L357" i="1"/>
  <c r="M357" i="1"/>
  <c r="N357" i="1"/>
  <c r="O357" i="1"/>
  <c r="P357" i="1"/>
  <c r="E358" i="1"/>
  <c r="F358" i="1"/>
  <c r="G358" i="1"/>
  <c r="H358" i="1"/>
  <c r="I358" i="1"/>
  <c r="J358" i="1"/>
  <c r="K358" i="1"/>
  <c r="L358" i="1"/>
  <c r="M358" i="1"/>
  <c r="N358" i="1"/>
  <c r="O358" i="1"/>
  <c r="P358" i="1"/>
  <c r="E359" i="1"/>
  <c r="F359" i="1"/>
  <c r="G359" i="1"/>
  <c r="H359" i="1"/>
  <c r="I359" i="1"/>
  <c r="J359" i="1"/>
  <c r="K359" i="1"/>
  <c r="L359" i="1"/>
  <c r="M359" i="1"/>
  <c r="N359" i="1"/>
  <c r="O359" i="1"/>
  <c r="P359" i="1"/>
  <c r="E360" i="1"/>
  <c r="F360" i="1"/>
  <c r="G360" i="1"/>
  <c r="H360" i="1"/>
  <c r="I360" i="1"/>
  <c r="J360" i="1"/>
  <c r="K360" i="1"/>
  <c r="L360" i="1"/>
  <c r="M360" i="1"/>
  <c r="N360" i="1"/>
  <c r="O360" i="1"/>
  <c r="P360" i="1"/>
  <c r="E361" i="1"/>
  <c r="F361" i="1"/>
  <c r="G361" i="1"/>
  <c r="H361" i="1"/>
  <c r="I361" i="1"/>
  <c r="J361" i="1"/>
  <c r="K361" i="1"/>
  <c r="L361" i="1"/>
  <c r="M361" i="1"/>
  <c r="N361" i="1"/>
  <c r="O361" i="1"/>
  <c r="P361" i="1"/>
  <c r="E362" i="1"/>
  <c r="F362" i="1"/>
  <c r="G362" i="1"/>
  <c r="H362" i="1"/>
  <c r="I362" i="1"/>
  <c r="J362" i="1"/>
  <c r="K362" i="1"/>
  <c r="L362" i="1"/>
  <c r="M362" i="1"/>
  <c r="N362" i="1"/>
  <c r="O362" i="1"/>
  <c r="P362" i="1"/>
  <c r="E363" i="1"/>
  <c r="F363" i="1"/>
  <c r="G363" i="1"/>
  <c r="H363" i="1"/>
  <c r="I363" i="1"/>
  <c r="J363" i="1"/>
  <c r="K363" i="1"/>
  <c r="L363" i="1"/>
  <c r="M363" i="1"/>
  <c r="N363" i="1"/>
  <c r="O363" i="1"/>
  <c r="P363" i="1"/>
  <c r="E364" i="1"/>
  <c r="F364" i="1"/>
  <c r="G364" i="1"/>
  <c r="H364" i="1"/>
  <c r="I364" i="1"/>
  <c r="J364" i="1"/>
  <c r="K364" i="1"/>
  <c r="L364" i="1"/>
  <c r="M364" i="1"/>
  <c r="N364" i="1"/>
  <c r="O364" i="1"/>
  <c r="P364" i="1"/>
  <c r="E365" i="1"/>
  <c r="F365" i="1"/>
  <c r="G365" i="1"/>
  <c r="H365" i="1"/>
  <c r="I365" i="1"/>
  <c r="J365" i="1"/>
  <c r="K365" i="1"/>
  <c r="L365" i="1"/>
  <c r="M365" i="1"/>
  <c r="N365" i="1"/>
  <c r="O365" i="1"/>
  <c r="P365" i="1"/>
  <c r="E366" i="1"/>
  <c r="F366" i="1"/>
  <c r="G366" i="1"/>
  <c r="H366" i="1"/>
  <c r="I366" i="1"/>
  <c r="J366" i="1"/>
  <c r="K366" i="1"/>
  <c r="L366" i="1"/>
  <c r="M366" i="1"/>
  <c r="N366" i="1"/>
  <c r="O366" i="1"/>
  <c r="P366" i="1"/>
  <c r="E367" i="1"/>
  <c r="F367" i="1"/>
  <c r="G367" i="1"/>
  <c r="H367" i="1"/>
  <c r="I367" i="1"/>
  <c r="J367" i="1"/>
  <c r="K367" i="1"/>
  <c r="L367" i="1"/>
  <c r="M367" i="1"/>
  <c r="N367" i="1"/>
  <c r="O367" i="1"/>
  <c r="P367" i="1"/>
  <c r="E368" i="1"/>
  <c r="F368" i="1"/>
  <c r="G368" i="1"/>
  <c r="H368" i="1"/>
  <c r="I368" i="1"/>
  <c r="J368" i="1"/>
  <c r="K368" i="1"/>
  <c r="L368" i="1"/>
  <c r="M368" i="1"/>
  <c r="N368" i="1"/>
  <c r="O368" i="1"/>
  <c r="P368" i="1"/>
  <c r="E369" i="1"/>
  <c r="F369" i="1"/>
  <c r="G369" i="1"/>
  <c r="H369" i="1"/>
  <c r="I369" i="1"/>
  <c r="J369" i="1"/>
  <c r="K369" i="1"/>
  <c r="L369" i="1"/>
  <c r="M369" i="1"/>
  <c r="N369" i="1"/>
  <c r="O369" i="1"/>
  <c r="P369" i="1"/>
  <c r="E370" i="1"/>
  <c r="F370" i="1"/>
  <c r="G370" i="1"/>
  <c r="H370" i="1"/>
  <c r="I370" i="1"/>
  <c r="J370" i="1"/>
  <c r="K370" i="1"/>
  <c r="L370" i="1"/>
  <c r="M370" i="1"/>
  <c r="N370" i="1"/>
  <c r="O370" i="1"/>
  <c r="P370" i="1"/>
  <c r="E371" i="1"/>
  <c r="F371" i="1"/>
  <c r="G371" i="1"/>
  <c r="H371" i="1"/>
  <c r="I371" i="1"/>
  <c r="J371" i="1"/>
  <c r="K371" i="1"/>
  <c r="L371" i="1"/>
  <c r="M371" i="1"/>
  <c r="N371" i="1"/>
  <c r="O371" i="1"/>
  <c r="P371" i="1"/>
  <c r="E372" i="1"/>
  <c r="F372" i="1"/>
  <c r="G372" i="1"/>
  <c r="H372" i="1"/>
  <c r="I372" i="1"/>
  <c r="J372" i="1"/>
  <c r="K372" i="1"/>
  <c r="L372" i="1"/>
  <c r="M372" i="1"/>
  <c r="N372" i="1"/>
  <c r="O372" i="1"/>
  <c r="P372" i="1"/>
  <c r="E373" i="1"/>
  <c r="F373" i="1"/>
  <c r="G373" i="1"/>
  <c r="H373" i="1"/>
  <c r="I373" i="1"/>
  <c r="J373" i="1"/>
  <c r="K373" i="1"/>
  <c r="L373" i="1"/>
  <c r="M373" i="1"/>
  <c r="N373" i="1"/>
  <c r="O373" i="1"/>
  <c r="P373" i="1"/>
  <c r="E374" i="1"/>
  <c r="F374" i="1"/>
  <c r="G374" i="1"/>
  <c r="H374" i="1"/>
  <c r="I374" i="1"/>
  <c r="J374" i="1"/>
  <c r="K374" i="1"/>
  <c r="L374" i="1"/>
  <c r="M374" i="1"/>
  <c r="N374" i="1"/>
  <c r="O374" i="1"/>
  <c r="P374" i="1"/>
  <c r="E375" i="1"/>
  <c r="F375" i="1"/>
  <c r="G375" i="1"/>
  <c r="H375" i="1"/>
  <c r="I375" i="1"/>
  <c r="J375" i="1"/>
  <c r="K375" i="1"/>
  <c r="L375" i="1"/>
  <c r="M375" i="1"/>
  <c r="N375" i="1"/>
  <c r="O375" i="1"/>
  <c r="P375" i="1"/>
  <c r="E376" i="1"/>
  <c r="F376" i="1"/>
  <c r="G376" i="1"/>
  <c r="H376" i="1"/>
  <c r="I376" i="1"/>
  <c r="J376" i="1"/>
  <c r="K376" i="1"/>
  <c r="L376" i="1"/>
  <c r="M376" i="1"/>
  <c r="N376" i="1"/>
  <c r="O376" i="1"/>
  <c r="P376" i="1"/>
  <c r="E377" i="1"/>
  <c r="F377" i="1"/>
  <c r="G377" i="1"/>
  <c r="H377" i="1"/>
  <c r="I377" i="1"/>
  <c r="J377" i="1"/>
  <c r="K377" i="1"/>
  <c r="L377" i="1"/>
  <c r="M377" i="1"/>
  <c r="N377" i="1"/>
  <c r="O377" i="1"/>
  <c r="P377" i="1"/>
  <c r="E378" i="1"/>
  <c r="F378" i="1"/>
  <c r="G378" i="1"/>
  <c r="H378" i="1"/>
  <c r="I378" i="1"/>
  <c r="J378" i="1"/>
  <c r="K378" i="1"/>
  <c r="L378" i="1"/>
  <c r="M378" i="1"/>
  <c r="N378" i="1"/>
  <c r="O378" i="1"/>
  <c r="P378" i="1"/>
  <c r="E379" i="1"/>
  <c r="F379" i="1"/>
  <c r="G379" i="1"/>
  <c r="H379" i="1"/>
  <c r="I379" i="1"/>
  <c r="J379" i="1"/>
  <c r="K379" i="1"/>
  <c r="L379" i="1"/>
  <c r="M379" i="1"/>
  <c r="N379" i="1"/>
  <c r="O379" i="1"/>
  <c r="P379" i="1"/>
  <c r="E380" i="1"/>
  <c r="F380" i="1"/>
  <c r="G380" i="1"/>
  <c r="H380" i="1"/>
  <c r="I380" i="1"/>
  <c r="J380" i="1"/>
  <c r="K380" i="1"/>
  <c r="L380" i="1"/>
  <c r="M380" i="1"/>
  <c r="N380" i="1"/>
  <c r="O380" i="1"/>
  <c r="P380" i="1"/>
  <c r="E381" i="1"/>
  <c r="F381" i="1"/>
  <c r="G381" i="1"/>
  <c r="H381" i="1"/>
  <c r="I381" i="1"/>
  <c r="J381" i="1"/>
  <c r="K381" i="1"/>
  <c r="L381" i="1"/>
  <c r="M381" i="1"/>
  <c r="N381" i="1"/>
  <c r="O381" i="1"/>
  <c r="P381" i="1"/>
  <c r="E382" i="1"/>
  <c r="F382" i="1"/>
  <c r="G382" i="1"/>
  <c r="H382" i="1"/>
  <c r="I382" i="1"/>
  <c r="J382" i="1"/>
  <c r="K382" i="1"/>
  <c r="L382" i="1"/>
  <c r="M382" i="1"/>
  <c r="N382" i="1"/>
  <c r="O382" i="1"/>
  <c r="P382" i="1"/>
  <c r="E383" i="1"/>
  <c r="F383" i="1"/>
  <c r="G383" i="1"/>
  <c r="H383" i="1"/>
  <c r="I383" i="1"/>
  <c r="J383" i="1"/>
  <c r="K383" i="1"/>
  <c r="L383" i="1"/>
  <c r="M383" i="1"/>
  <c r="N383" i="1"/>
  <c r="O383" i="1"/>
  <c r="P383" i="1"/>
  <c r="E384" i="1"/>
  <c r="F384" i="1"/>
  <c r="G384" i="1"/>
  <c r="H384" i="1"/>
  <c r="I384" i="1"/>
  <c r="J384" i="1"/>
  <c r="K384" i="1"/>
  <c r="L384" i="1"/>
  <c r="M384" i="1"/>
  <c r="N384" i="1"/>
  <c r="O384" i="1"/>
  <c r="P384" i="1"/>
  <c r="E385" i="1"/>
  <c r="F385" i="1"/>
  <c r="G385" i="1"/>
  <c r="H385" i="1"/>
  <c r="I385" i="1"/>
  <c r="J385" i="1"/>
  <c r="K385" i="1"/>
  <c r="L385" i="1"/>
  <c r="M385" i="1"/>
  <c r="N385" i="1"/>
  <c r="O385" i="1"/>
  <c r="P385" i="1"/>
  <c r="E386" i="1"/>
  <c r="F386" i="1"/>
  <c r="G386" i="1"/>
  <c r="H386" i="1"/>
  <c r="I386" i="1"/>
  <c r="J386" i="1"/>
  <c r="K386" i="1"/>
  <c r="L386" i="1"/>
  <c r="M386" i="1"/>
  <c r="N386" i="1"/>
  <c r="O386" i="1"/>
  <c r="P386" i="1"/>
  <c r="E387" i="1"/>
  <c r="F387" i="1"/>
  <c r="G387" i="1"/>
  <c r="H387" i="1"/>
  <c r="I387" i="1"/>
  <c r="J387" i="1"/>
  <c r="K387" i="1"/>
  <c r="L387" i="1"/>
  <c r="M387" i="1"/>
  <c r="N387" i="1"/>
  <c r="O387" i="1"/>
  <c r="P387" i="1"/>
  <c r="E388" i="1"/>
  <c r="F388" i="1"/>
  <c r="G388" i="1"/>
  <c r="H388" i="1"/>
  <c r="I388" i="1"/>
  <c r="J388" i="1"/>
  <c r="K388" i="1"/>
  <c r="L388" i="1"/>
  <c r="M388" i="1"/>
  <c r="N388" i="1"/>
  <c r="O388" i="1"/>
  <c r="P388" i="1"/>
  <c r="E389" i="1"/>
  <c r="F389" i="1"/>
  <c r="G389" i="1"/>
  <c r="H389" i="1"/>
  <c r="I389" i="1"/>
  <c r="J389" i="1"/>
  <c r="K389" i="1"/>
  <c r="L389" i="1"/>
  <c r="M389" i="1"/>
  <c r="N389" i="1"/>
  <c r="O389" i="1"/>
  <c r="P389" i="1"/>
  <c r="E390" i="1"/>
  <c r="F390" i="1"/>
  <c r="G390" i="1"/>
  <c r="H390" i="1"/>
  <c r="I390" i="1"/>
  <c r="J390" i="1"/>
  <c r="K390" i="1"/>
  <c r="L390" i="1"/>
  <c r="M390" i="1"/>
  <c r="N390" i="1"/>
  <c r="O390" i="1"/>
  <c r="P390" i="1"/>
  <c r="E391" i="1"/>
  <c r="F391" i="1"/>
  <c r="G391" i="1"/>
  <c r="H391" i="1"/>
  <c r="I391" i="1"/>
  <c r="J391" i="1"/>
  <c r="K391" i="1"/>
  <c r="L391" i="1"/>
  <c r="M391" i="1"/>
  <c r="N391" i="1"/>
  <c r="O391" i="1"/>
  <c r="P391" i="1"/>
  <c r="E392" i="1"/>
  <c r="F392" i="1"/>
  <c r="G392" i="1"/>
  <c r="H392" i="1"/>
  <c r="I392" i="1"/>
  <c r="J392" i="1"/>
  <c r="K392" i="1"/>
  <c r="L392" i="1"/>
  <c r="M392" i="1"/>
  <c r="N392" i="1"/>
  <c r="O392" i="1"/>
  <c r="P392" i="1"/>
  <c r="E393" i="1"/>
  <c r="F393" i="1"/>
  <c r="G393" i="1"/>
  <c r="H393" i="1"/>
  <c r="I393" i="1"/>
  <c r="J393" i="1"/>
  <c r="K393" i="1"/>
  <c r="L393" i="1"/>
  <c r="M393" i="1"/>
  <c r="N393" i="1"/>
  <c r="O393" i="1"/>
  <c r="P393" i="1"/>
  <c r="E394" i="1"/>
  <c r="F394" i="1"/>
  <c r="G394" i="1"/>
  <c r="H394" i="1"/>
  <c r="I394" i="1"/>
  <c r="J394" i="1"/>
  <c r="K394" i="1"/>
  <c r="L394" i="1"/>
  <c r="M394" i="1"/>
  <c r="N394" i="1"/>
  <c r="O394" i="1"/>
  <c r="P394" i="1"/>
  <c r="E395" i="1"/>
  <c r="F395" i="1"/>
  <c r="G395" i="1"/>
  <c r="H395" i="1"/>
  <c r="I395" i="1"/>
  <c r="J395" i="1"/>
  <c r="K395" i="1"/>
  <c r="L395" i="1"/>
  <c r="M395" i="1"/>
  <c r="N395" i="1"/>
  <c r="O395" i="1"/>
  <c r="P395" i="1"/>
  <c r="E396" i="1"/>
  <c r="F396" i="1"/>
  <c r="G396" i="1"/>
  <c r="H396" i="1"/>
  <c r="I396" i="1"/>
  <c r="J396" i="1"/>
  <c r="K396" i="1"/>
  <c r="L396" i="1"/>
  <c r="M396" i="1"/>
  <c r="N396" i="1"/>
  <c r="O396" i="1"/>
  <c r="P396" i="1"/>
  <c r="E397" i="1"/>
  <c r="F397" i="1"/>
  <c r="G397" i="1"/>
  <c r="H397" i="1"/>
  <c r="I397" i="1"/>
  <c r="J397" i="1"/>
  <c r="K397" i="1"/>
  <c r="L397" i="1"/>
  <c r="M397" i="1"/>
  <c r="N397" i="1"/>
  <c r="O397" i="1"/>
  <c r="P397" i="1"/>
  <c r="E398" i="1"/>
  <c r="F398" i="1"/>
  <c r="G398" i="1"/>
  <c r="H398" i="1"/>
  <c r="I398" i="1"/>
  <c r="J398" i="1"/>
  <c r="K398" i="1"/>
  <c r="L398" i="1"/>
  <c r="M398" i="1"/>
  <c r="N398" i="1"/>
  <c r="O398" i="1"/>
  <c r="P398" i="1"/>
  <c r="E399" i="1"/>
  <c r="F399" i="1"/>
  <c r="G399" i="1"/>
  <c r="H399" i="1"/>
  <c r="I399" i="1"/>
  <c r="J399" i="1"/>
  <c r="K399" i="1"/>
  <c r="L399" i="1"/>
  <c r="M399" i="1"/>
  <c r="N399" i="1"/>
  <c r="O399" i="1"/>
  <c r="P399" i="1"/>
  <c r="E400" i="1"/>
  <c r="F400" i="1"/>
  <c r="G400" i="1"/>
  <c r="H400" i="1"/>
  <c r="I400" i="1"/>
  <c r="J400" i="1"/>
  <c r="K400" i="1"/>
  <c r="L400" i="1"/>
  <c r="M400" i="1"/>
  <c r="N400" i="1"/>
  <c r="O400" i="1"/>
  <c r="P400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U10" i="1"/>
  <c r="V10" i="1"/>
  <c r="H241" i="1"/>
  <c r="J241" i="1"/>
  <c r="L241" i="1"/>
  <c r="I241" i="1"/>
  <c r="K241" i="1"/>
  <c r="M241" i="1"/>
  <c r="G241" i="1"/>
  <c r="H240" i="1"/>
  <c r="J240" i="1"/>
  <c r="L240" i="1"/>
  <c r="I240" i="1"/>
  <c r="K240" i="1"/>
  <c r="M240" i="1"/>
  <c r="G240" i="1"/>
  <c r="H239" i="1"/>
  <c r="J239" i="1"/>
  <c r="L239" i="1"/>
  <c r="I239" i="1"/>
  <c r="K239" i="1"/>
  <c r="M239" i="1"/>
  <c r="G239" i="1"/>
  <c r="H238" i="1"/>
  <c r="J238" i="1"/>
  <c r="L238" i="1"/>
  <c r="I238" i="1"/>
  <c r="K238" i="1"/>
  <c r="M238" i="1"/>
  <c r="G238" i="1"/>
  <c r="H237" i="1"/>
  <c r="J237" i="1"/>
  <c r="L237" i="1"/>
  <c r="I237" i="1"/>
  <c r="K237" i="1"/>
  <c r="M237" i="1"/>
  <c r="G237" i="1"/>
  <c r="H236" i="1"/>
  <c r="J236" i="1"/>
  <c r="L236" i="1"/>
  <c r="I236" i="1"/>
  <c r="K236" i="1"/>
  <c r="M236" i="1"/>
  <c r="G236" i="1"/>
  <c r="H235" i="1"/>
  <c r="J235" i="1"/>
  <c r="L235" i="1"/>
  <c r="I235" i="1"/>
  <c r="K235" i="1"/>
  <c r="M235" i="1"/>
  <c r="G235" i="1"/>
  <c r="H234" i="1"/>
  <c r="J234" i="1"/>
  <c r="L234" i="1"/>
  <c r="I234" i="1"/>
  <c r="K234" i="1"/>
  <c r="M234" i="1"/>
  <c r="G234" i="1"/>
  <c r="H233" i="1"/>
  <c r="J233" i="1"/>
  <c r="L233" i="1"/>
  <c r="I233" i="1"/>
  <c r="K233" i="1"/>
  <c r="M233" i="1"/>
  <c r="G233" i="1"/>
  <c r="H232" i="1"/>
  <c r="J232" i="1"/>
  <c r="L232" i="1"/>
  <c r="I232" i="1"/>
  <c r="K232" i="1"/>
  <c r="M232" i="1"/>
  <c r="G232" i="1"/>
  <c r="H231" i="1"/>
  <c r="J231" i="1"/>
  <c r="L231" i="1"/>
  <c r="I231" i="1"/>
  <c r="K231" i="1"/>
  <c r="M231" i="1"/>
  <c r="G231" i="1"/>
  <c r="H230" i="1"/>
  <c r="J230" i="1"/>
  <c r="L230" i="1"/>
  <c r="I230" i="1"/>
  <c r="K230" i="1"/>
  <c r="M230" i="1"/>
  <c r="G230" i="1"/>
  <c r="H229" i="1"/>
  <c r="J229" i="1"/>
  <c r="L229" i="1"/>
  <c r="I229" i="1"/>
  <c r="K229" i="1"/>
  <c r="M229" i="1"/>
  <c r="G229" i="1"/>
  <c r="H228" i="1"/>
  <c r="J228" i="1"/>
  <c r="L228" i="1"/>
  <c r="I228" i="1"/>
  <c r="K228" i="1"/>
  <c r="M228" i="1"/>
  <c r="G228" i="1"/>
  <c r="H227" i="1"/>
  <c r="J227" i="1"/>
  <c r="L227" i="1"/>
  <c r="I227" i="1"/>
  <c r="K227" i="1"/>
  <c r="M227" i="1"/>
  <c r="G227" i="1"/>
  <c r="H226" i="1"/>
  <c r="J226" i="1"/>
  <c r="L226" i="1"/>
  <c r="I226" i="1"/>
  <c r="K226" i="1"/>
  <c r="M226" i="1"/>
  <c r="G226" i="1"/>
  <c r="H225" i="1"/>
  <c r="J225" i="1"/>
  <c r="L225" i="1"/>
  <c r="I225" i="1"/>
  <c r="K225" i="1"/>
  <c r="M225" i="1"/>
  <c r="G225" i="1"/>
  <c r="H224" i="1"/>
  <c r="J224" i="1"/>
  <c r="L224" i="1"/>
  <c r="I224" i="1"/>
  <c r="K224" i="1"/>
  <c r="M224" i="1"/>
  <c r="G224" i="1"/>
  <c r="H223" i="1"/>
  <c r="J223" i="1"/>
  <c r="L223" i="1"/>
  <c r="I223" i="1"/>
  <c r="K223" i="1"/>
  <c r="M223" i="1"/>
  <c r="G223" i="1"/>
  <c r="H222" i="1"/>
  <c r="J222" i="1"/>
  <c r="L222" i="1"/>
  <c r="I222" i="1"/>
  <c r="K222" i="1"/>
  <c r="M222" i="1"/>
  <c r="G222" i="1"/>
  <c r="H221" i="1"/>
  <c r="J221" i="1"/>
  <c r="L221" i="1"/>
  <c r="I221" i="1"/>
  <c r="K221" i="1"/>
  <c r="M221" i="1"/>
  <c r="G221" i="1"/>
  <c r="H220" i="1"/>
  <c r="J220" i="1"/>
  <c r="L220" i="1"/>
  <c r="I220" i="1"/>
  <c r="K220" i="1"/>
  <c r="M220" i="1"/>
  <c r="G220" i="1"/>
  <c r="H219" i="1"/>
  <c r="J219" i="1"/>
  <c r="L219" i="1"/>
  <c r="I219" i="1"/>
  <c r="K219" i="1"/>
  <c r="M219" i="1"/>
  <c r="G219" i="1"/>
  <c r="H218" i="1"/>
  <c r="J218" i="1"/>
  <c r="L218" i="1"/>
  <c r="I218" i="1"/>
  <c r="K218" i="1"/>
  <c r="M218" i="1"/>
  <c r="G218" i="1"/>
  <c r="H217" i="1"/>
  <c r="J217" i="1"/>
  <c r="L217" i="1"/>
  <c r="I217" i="1"/>
  <c r="K217" i="1"/>
  <c r="M217" i="1"/>
  <c r="G217" i="1"/>
  <c r="H216" i="1"/>
  <c r="J216" i="1"/>
  <c r="L216" i="1"/>
  <c r="I216" i="1"/>
  <c r="K216" i="1"/>
  <c r="M216" i="1"/>
  <c r="G216" i="1"/>
  <c r="H215" i="1"/>
  <c r="J215" i="1"/>
  <c r="L215" i="1"/>
  <c r="I215" i="1"/>
  <c r="K215" i="1"/>
  <c r="M215" i="1"/>
  <c r="G215" i="1"/>
  <c r="H214" i="1"/>
  <c r="J214" i="1"/>
  <c r="L214" i="1"/>
  <c r="I214" i="1"/>
  <c r="K214" i="1"/>
  <c r="M214" i="1"/>
  <c r="G214" i="1"/>
  <c r="H213" i="1"/>
  <c r="J213" i="1"/>
  <c r="L213" i="1"/>
  <c r="I213" i="1"/>
  <c r="K213" i="1"/>
  <c r="M213" i="1"/>
  <c r="G213" i="1"/>
  <c r="P241" i="1"/>
  <c r="O241" i="1"/>
  <c r="N241" i="1"/>
  <c r="P240" i="1"/>
  <c r="O240" i="1"/>
  <c r="N240" i="1"/>
  <c r="P239" i="1"/>
  <c r="O239" i="1"/>
  <c r="N239" i="1"/>
  <c r="P238" i="1"/>
  <c r="O238" i="1"/>
  <c r="N238" i="1"/>
  <c r="P237" i="1"/>
  <c r="O237" i="1"/>
  <c r="N237" i="1"/>
  <c r="P236" i="1"/>
  <c r="O236" i="1"/>
  <c r="N236" i="1"/>
  <c r="P235" i="1"/>
  <c r="O235" i="1"/>
  <c r="N235" i="1"/>
  <c r="P234" i="1"/>
  <c r="O234" i="1"/>
  <c r="N234" i="1"/>
  <c r="P233" i="1"/>
  <c r="O233" i="1"/>
  <c r="N233" i="1"/>
  <c r="P232" i="1"/>
  <c r="O232" i="1"/>
  <c r="N232" i="1"/>
  <c r="P231" i="1"/>
  <c r="O231" i="1"/>
  <c r="N231" i="1"/>
  <c r="P230" i="1"/>
  <c r="O230" i="1"/>
  <c r="N230" i="1"/>
  <c r="P229" i="1"/>
  <c r="O229" i="1"/>
  <c r="N229" i="1"/>
  <c r="P228" i="1"/>
  <c r="O228" i="1"/>
  <c r="N228" i="1"/>
  <c r="P227" i="1"/>
  <c r="O227" i="1"/>
  <c r="N227" i="1"/>
  <c r="P226" i="1"/>
  <c r="O226" i="1"/>
  <c r="N226" i="1"/>
  <c r="P225" i="1"/>
  <c r="O225" i="1"/>
  <c r="N225" i="1"/>
  <c r="P224" i="1"/>
  <c r="O224" i="1"/>
  <c r="N224" i="1"/>
  <c r="P223" i="1"/>
  <c r="O223" i="1"/>
  <c r="N223" i="1"/>
  <c r="P222" i="1"/>
  <c r="O222" i="1"/>
  <c r="N222" i="1"/>
  <c r="P221" i="1"/>
  <c r="O221" i="1"/>
  <c r="N221" i="1"/>
  <c r="P220" i="1"/>
  <c r="O220" i="1"/>
  <c r="N220" i="1"/>
  <c r="P219" i="1"/>
  <c r="O219" i="1"/>
  <c r="N219" i="1"/>
  <c r="P218" i="1"/>
  <c r="O218" i="1"/>
  <c r="N218" i="1"/>
  <c r="P217" i="1"/>
  <c r="O217" i="1"/>
  <c r="N217" i="1"/>
  <c r="P216" i="1"/>
  <c r="O216" i="1"/>
  <c r="N216" i="1"/>
  <c r="P215" i="1"/>
  <c r="O215" i="1"/>
  <c r="N215" i="1"/>
  <c r="P214" i="1"/>
  <c r="O214" i="1"/>
  <c r="N214" i="1"/>
  <c r="P213" i="1"/>
  <c r="O213" i="1"/>
  <c r="N213" i="1"/>
  <c r="P35" i="1"/>
  <c r="O37" i="1"/>
  <c r="O43" i="1"/>
  <c r="P212" i="1"/>
  <c r="O212" i="1"/>
  <c r="N212" i="1"/>
  <c r="I212" i="1"/>
  <c r="K212" i="1"/>
  <c r="M212" i="1"/>
  <c r="H212" i="1"/>
  <c r="J212" i="1"/>
  <c r="L212" i="1"/>
  <c r="G212" i="1"/>
  <c r="P211" i="1"/>
  <c r="O211" i="1"/>
  <c r="N211" i="1"/>
  <c r="I211" i="1"/>
  <c r="K211" i="1"/>
  <c r="M211" i="1"/>
  <c r="H211" i="1"/>
  <c r="J211" i="1"/>
  <c r="L211" i="1"/>
  <c r="G211" i="1"/>
  <c r="P210" i="1"/>
  <c r="O210" i="1"/>
  <c r="N210" i="1"/>
  <c r="I210" i="1"/>
  <c r="K210" i="1"/>
  <c r="M210" i="1"/>
  <c r="H210" i="1"/>
  <c r="J210" i="1"/>
  <c r="L210" i="1"/>
  <c r="G210" i="1"/>
  <c r="P209" i="1"/>
  <c r="O209" i="1"/>
  <c r="N209" i="1"/>
  <c r="I209" i="1"/>
  <c r="K209" i="1"/>
  <c r="M209" i="1"/>
  <c r="H209" i="1"/>
  <c r="J209" i="1"/>
  <c r="L209" i="1"/>
  <c r="G209" i="1"/>
  <c r="P208" i="1"/>
  <c r="O208" i="1"/>
  <c r="N208" i="1"/>
  <c r="I208" i="1"/>
  <c r="K208" i="1"/>
  <c r="M208" i="1"/>
  <c r="H208" i="1"/>
  <c r="J208" i="1"/>
  <c r="L208" i="1"/>
  <c r="G208" i="1"/>
  <c r="P207" i="1"/>
  <c r="O207" i="1"/>
  <c r="N207" i="1"/>
  <c r="I207" i="1"/>
  <c r="K207" i="1"/>
  <c r="M207" i="1"/>
  <c r="H207" i="1"/>
  <c r="J207" i="1"/>
  <c r="L207" i="1"/>
  <c r="G207" i="1"/>
  <c r="P206" i="1"/>
  <c r="O206" i="1"/>
  <c r="N206" i="1"/>
  <c r="I206" i="1"/>
  <c r="K206" i="1"/>
  <c r="M206" i="1"/>
  <c r="H206" i="1"/>
  <c r="J206" i="1"/>
  <c r="L206" i="1"/>
  <c r="G206" i="1"/>
  <c r="P205" i="1"/>
  <c r="O205" i="1"/>
  <c r="N205" i="1"/>
  <c r="I205" i="1"/>
  <c r="K205" i="1"/>
  <c r="M205" i="1"/>
  <c r="H205" i="1"/>
  <c r="J205" i="1"/>
  <c r="L205" i="1"/>
  <c r="G205" i="1"/>
  <c r="P204" i="1"/>
  <c r="O204" i="1"/>
  <c r="N204" i="1"/>
  <c r="I204" i="1"/>
  <c r="K204" i="1"/>
  <c r="M204" i="1"/>
  <c r="H204" i="1"/>
  <c r="J204" i="1"/>
  <c r="L204" i="1"/>
  <c r="G204" i="1"/>
  <c r="P203" i="1"/>
  <c r="O203" i="1"/>
  <c r="N203" i="1"/>
  <c r="I203" i="1"/>
  <c r="K203" i="1"/>
  <c r="M203" i="1"/>
  <c r="H203" i="1"/>
  <c r="J203" i="1"/>
  <c r="L203" i="1"/>
  <c r="G203" i="1"/>
  <c r="P202" i="1"/>
  <c r="O202" i="1"/>
  <c r="N202" i="1"/>
  <c r="I202" i="1"/>
  <c r="K202" i="1"/>
  <c r="M202" i="1"/>
  <c r="H202" i="1"/>
  <c r="J202" i="1"/>
  <c r="L202" i="1"/>
  <c r="G202" i="1"/>
  <c r="P201" i="1"/>
  <c r="O201" i="1"/>
  <c r="N201" i="1"/>
  <c r="I201" i="1"/>
  <c r="K201" i="1"/>
  <c r="M201" i="1"/>
  <c r="H201" i="1"/>
  <c r="J201" i="1"/>
  <c r="L201" i="1"/>
  <c r="G201" i="1"/>
  <c r="P200" i="1"/>
  <c r="O200" i="1"/>
  <c r="N200" i="1"/>
  <c r="I200" i="1"/>
  <c r="K200" i="1"/>
  <c r="M200" i="1"/>
  <c r="H200" i="1"/>
  <c r="J200" i="1"/>
  <c r="L200" i="1"/>
  <c r="G200" i="1"/>
  <c r="P199" i="1"/>
  <c r="O199" i="1"/>
  <c r="N199" i="1"/>
  <c r="I199" i="1"/>
  <c r="K199" i="1"/>
  <c r="M199" i="1"/>
  <c r="H199" i="1"/>
  <c r="J199" i="1"/>
  <c r="L199" i="1"/>
  <c r="G199" i="1"/>
  <c r="P198" i="1"/>
  <c r="O198" i="1"/>
  <c r="N198" i="1"/>
  <c r="I198" i="1"/>
  <c r="K198" i="1"/>
  <c r="M198" i="1"/>
  <c r="H198" i="1"/>
  <c r="J198" i="1"/>
  <c r="L198" i="1"/>
  <c r="G198" i="1"/>
  <c r="P197" i="1"/>
  <c r="O197" i="1"/>
  <c r="N197" i="1"/>
  <c r="I197" i="1"/>
  <c r="K197" i="1"/>
  <c r="M197" i="1"/>
  <c r="H197" i="1"/>
  <c r="J197" i="1"/>
  <c r="L197" i="1"/>
  <c r="G197" i="1"/>
  <c r="P196" i="1"/>
  <c r="O196" i="1"/>
  <c r="N196" i="1"/>
  <c r="I196" i="1"/>
  <c r="K196" i="1"/>
  <c r="M196" i="1"/>
  <c r="H196" i="1"/>
  <c r="J196" i="1"/>
  <c r="L196" i="1"/>
  <c r="G196" i="1"/>
  <c r="P195" i="1"/>
  <c r="O195" i="1"/>
  <c r="N195" i="1"/>
  <c r="I195" i="1"/>
  <c r="K195" i="1"/>
  <c r="M195" i="1"/>
  <c r="H195" i="1"/>
  <c r="J195" i="1"/>
  <c r="L195" i="1"/>
  <c r="G195" i="1"/>
  <c r="P194" i="1"/>
  <c r="O194" i="1"/>
  <c r="N194" i="1"/>
  <c r="I194" i="1"/>
  <c r="K194" i="1"/>
  <c r="M194" i="1"/>
  <c r="H194" i="1"/>
  <c r="J194" i="1"/>
  <c r="L194" i="1"/>
  <c r="G194" i="1"/>
  <c r="P193" i="1"/>
  <c r="O193" i="1"/>
  <c r="N193" i="1"/>
  <c r="I193" i="1"/>
  <c r="K193" i="1"/>
  <c r="M193" i="1"/>
  <c r="H193" i="1"/>
  <c r="J193" i="1"/>
  <c r="L193" i="1"/>
  <c r="G193" i="1"/>
  <c r="P192" i="1"/>
  <c r="O192" i="1"/>
  <c r="N192" i="1"/>
  <c r="I192" i="1"/>
  <c r="K192" i="1"/>
  <c r="M192" i="1"/>
  <c r="H192" i="1"/>
  <c r="J192" i="1"/>
  <c r="L192" i="1"/>
  <c r="G192" i="1"/>
  <c r="P191" i="1"/>
  <c r="O191" i="1"/>
  <c r="N191" i="1"/>
  <c r="I191" i="1"/>
  <c r="K191" i="1"/>
  <c r="M191" i="1"/>
  <c r="H191" i="1"/>
  <c r="J191" i="1"/>
  <c r="L191" i="1"/>
  <c r="G191" i="1"/>
  <c r="P190" i="1"/>
  <c r="O190" i="1"/>
  <c r="N190" i="1"/>
  <c r="I190" i="1"/>
  <c r="K190" i="1"/>
  <c r="M190" i="1"/>
  <c r="H190" i="1"/>
  <c r="J190" i="1"/>
  <c r="L190" i="1"/>
  <c r="G190" i="1"/>
  <c r="P189" i="1"/>
  <c r="O189" i="1"/>
  <c r="N189" i="1"/>
  <c r="I189" i="1"/>
  <c r="K189" i="1"/>
  <c r="M189" i="1"/>
  <c r="H189" i="1"/>
  <c r="J189" i="1"/>
  <c r="L189" i="1"/>
  <c r="G189" i="1"/>
  <c r="P188" i="1"/>
  <c r="O188" i="1"/>
  <c r="N188" i="1"/>
  <c r="I188" i="1"/>
  <c r="K188" i="1"/>
  <c r="M188" i="1"/>
  <c r="H188" i="1"/>
  <c r="J188" i="1"/>
  <c r="L188" i="1"/>
  <c r="G188" i="1"/>
  <c r="P187" i="1"/>
  <c r="O187" i="1"/>
  <c r="N187" i="1"/>
  <c r="I187" i="1"/>
  <c r="K187" i="1"/>
  <c r="M187" i="1"/>
  <c r="H187" i="1"/>
  <c r="J187" i="1"/>
  <c r="L187" i="1"/>
  <c r="G187" i="1"/>
  <c r="P186" i="1"/>
  <c r="O186" i="1"/>
  <c r="N186" i="1"/>
  <c r="I186" i="1"/>
  <c r="K186" i="1"/>
  <c r="M186" i="1"/>
  <c r="H186" i="1"/>
  <c r="J186" i="1"/>
  <c r="L186" i="1"/>
  <c r="G186" i="1"/>
  <c r="P185" i="1"/>
  <c r="O185" i="1"/>
  <c r="N185" i="1"/>
  <c r="I185" i="1"/>
  <c r="K185" i="1"/>
  <c r="M185" i="1"/>
  <c r="H185" i="1"/>
  <c r="J185" i="1"/>
  <c r="L185" i="1"/>
  <c r="G185" i="1"/>
  <c r="P184" i="1"/>
  <c r="O184" i="1"/>
  <c r="N184" i="1"/>
  <c r="I184" i="1"/>
  <c r="K184" i="1"/>
  <c r="M184" i="1"/>
  <c r="H184" i="1"/>
  <c r="J184" i="1"/>
  <c r="L184" i="1"/>
  <c r="G184" i="1"/>
  <c r="P183" i="1"/>
  <c r="O183" i="1"/>
  <c r="N183" i="1"/>
  <c r="I183" i="1"/>
  <c r="K183" i="1"/>
  <c r="M183" i="1"/>
  <c r="H183" i="1"/>
  <c r="J183" i="1"/>
  <c r="L183" i="1"/>
  <c r="G183" i="1"/>
  <c r="P182" i="1"/>
  <c r="O182" i="1"/>
  <c r="N182" i="1"/>
  <c r="N181" i="1"/>
  <c r="P179" i="1"/>
  <c r="O179" i="1"/>
  <c r="N179" i="1"/>
  <c r="P163" i="1"/>
  <c r="O163" i="1"/>
  <c r="N163" i="1"/>
  <c r="P151" i="1"/>
  <c r="O149" i="1"/>
  <c r="N149" i="1"/>
  <c r="P131" i="1"/>
  <c r="N1" i="1"/>
  <c r="O56" i="1"/>
  <c r="P56" i="1"/>
  <c r="O57" i="1"/>
  <c r="P99" i="1"/>
  <c r="P36" i="1"/>
  <c r="P29" i="1"/>
  <c r="O29" i="1"/>
  <c r="O181" i="1" l="1"/>
  <c r="O177" i="1"/>
  <c r="P178" i="1"/>
  <c r="P150" i="1"/>
  <c r="N157" i="1"/>
  <c r="O162" i="1"/>
  <c r="N108" i="1"/>
  <c r="P152" i="1"/>
  <c r="O157" i="1"/>
  <c r="O164" i="1"/>
  <c r="O153" i="1"/>
  <c r="N153" i="1"/>
  <c r="N165" i="1"/>
  <c r="O165" i="1"/>
  <c r="N169" i="1"/>
  <c r="N178" i="1"/>
  <c r="T169" i="1"/>
  <c r="O169" i="1"/>
  <c r="O172" i="1"/>
  <c r="N177" i="1"/>
  <c r="N162" i="1"/>
  <c r="P168" i="1"/>
  <c r="O166" i="1"/>
  <c r="N174" i="1"/>
  <c r="N166" i="1"/>
  <c r="N150" i="1"/>
  <c r="O167" i="1"/>
  <c r="N172" i="1"/>
  <c r="O154" i="1"/>
  <c r="N156" i="1"/>
  <c r="N159" i="1"/>
  <c r="N180" i="1"/>
  <c r="N154" i="1"/>
  <c r="O156" i="1"/>
  <c r="O180" i="1"/>
  <c r="P84" i="1"/>
  <c r="N164" i="1"/>
  <c r="T160" i="1"/>
  <c r="N160" i="1"/>
  <c r="T175" i="1"/>
  <c r="N175" i="1"/>
  <c r="T176" i="1"/>
  <c r="N176" i="1"/>
  <c r="T161" i="1"/>
  <c r="N161" i="1"/>
  <c r="P175" i="1"/>
  <c r="O175" i="1"/>
  <c r="P160" i="1"/>
  <c r="O160" i="1"/>
  <c r="O176" i="1"/>
  <c r="N173" i="1"/>
  <c r="P108" i="1"/>
  <c r="N151" i="1"/>
  <c r="N167" i="1"/>
  <c r="P170" i="1"/>
  <c r="O108" i="1"/>
  <c r="P124" i="1"/>
  <c r="O173" i="1"/>
  <c r="O139" i="1"/>
  <c r="O159" i="1"/>
  <c r="O161" i="1"/>
  <c r="N158" i="1"/>
  <c r="O158" i="1"/>
  <c r="O174" i="1"/>
  <c r="P155" i="1"/>
  <c r="N168" i="1"/>
  <c r="P171" i="1"/>
  <c r="N170" i="1"/>
  <c r="N155" i="1"/>
  <c r="N171" i="1"/>
  <c r="N152" i="1"/>
  <c r="L14" i="1"/>
  <c r="G13" i="1"/>
  <c r="W15" i="1"/>
  <c r="J15" i="1"/>
  <c r="K15" i="1"/>
  <c r="M14" i="1"/>
  <c r="H15" i="1"/>
  <c r="L15" i="1" s="1"/>
  <c r="I15" i="1"/>
  <c r="O126" i="1"/>
  <c r="N139" i="1"/>
  <c r="P111" i="1"/>
  <c r="N141" i="1"/>
  <c r="P147" i="1"/>
  <c r="N148" i="1"/>
  <c r="O148" i="1"/>
  <c r="P141" i="1"/>
  <c r="P92" i="1"/>
  <c r="P118" i="1"/>
  <c r="O123" i="1"/>
  <c r="O103" i="1"/>
  <c r="N119" i="1"/>
  <c r="O138" i="1"/>
  <c r="P93" i="1"/>
  <c r="O91" i="1"/>
  <c r="P90" i="1"/>
  <c r="N137" i="1"/>
  <c r="N91" i="1"/>
  <c r="P110" i="1"/>
  <c r="N111" i="1"/>
  <c r="P121" i="1"/>
  <c r="P98" i="1"/>
  <c r="P96" i="1"/>
  <c r="P144" i="1"/>
  <c r="P95" i="1"/>
  <c r="N142" i="1"/>
  <c r="O142" i="1"/>
  <c r="O120" i="1"/>
  <c r="N144" i="1"/>
  <c r="O122" i="1"/>
  <c r="O145" i="1"/>
  <c r="O88" i="1"/>
  <c r="N135" i="1"/>
  <c r="N127" i="1"/>
  <c r="O104" i="1"/>
  <c r="N136" i="1"/>
  <c r="P136" i="1"/>
  <c r="O127" i="1"/>
  <c r="P105" i="1"/>
  <c r="O106" i="1"/>
  <c r="O137" i="1"/>
  <c r="O107" i="1"/>
  <c r="N138" i="1"/>
  <c r="P85" i="1"/>
  <c r="O133" i="1"/>
  <c r="O129" i="1"/>
  <c r="N146" i="1"/>
  <c r="O130" i="1"/>
  <c r="N36" i="1"/>
  <c r="O70" i="1"/>
  <c r="N115" i="1"/>
  <c r="O143" i="1"/>
  <c r="O115" i="1"/>
  <c r="N140" i="1"/>
  <c r="O86" i="1"/>
  <c r="P112" i="1"/>
  <c r="O114" i="1"/>
  <c r="P146" i="1"/>
  <c r="O140" i="1"/>
  <c r="N78" i="1"/>
  <c r="O116" i="1"/>
  <c r="N89" i="1"/>
  <c r="P128" i="1"/>
  <c r="O78" i="1"/>
  <c r="N143" i="1"/>
  <c r="O101" i="1"/>
  <c r="N117" i="1"/>
  <c r="N134" i="1"/>
  <c r="N93" i="1"/>
  <c r="O117" i="1"/>
  <c r="O134" i="1"/>
  <c r="N133" i="1"/>
  <c r="N113" i="1"/>
  <c r="N99" i="1"/>
  <c r="O102" i="1"/>
  <c r="N131" i="1"/>
  <c r="N147" i="1"/>
  <c r="N101" i="1"/>
  <c r="O119" i="1"/>
  <c r="O135" i="1"/>
  <c r="N132" i="1"/>
  <c r="O132" i="1"/>
  <c r="N145" i="1"/>
  <c r="N105" i="1"/>
  <c r="N103" i="1"/>
  <c r="P76" i="1"/>
  <c r="O94" i="1"/>
  <c r="P100" i="1"/>
  <c r="P82" i="1"/>
  <c r="P83" i="1"/>
  <c r="N83" i="1"/>
  <c r="N79" i="1"/>
  <c r="P69" i="1"/>
  <c r="N56" i="1"/>
  <c r="N130" i="1"/>
  <c r="N129" i="1"/>
  <c r="N128" i="1"/>
  <c r="N126" i="1"/>
  <c r="N125" i="1"/>
  <c r="O125" i="1"/>
  <c r="P125" i="1"/>
  <c r="N124" i="1"/>
  <c r="N123" i="1"/>
  <c r="N122" i="1"/>
  <c r="N121" i="1"/>
  <c r="N120" i="1"/>
  <c r="N118" i="1"/>
  <c r="N116" i="1"/>
  <c r="N114" i="1"/>
  <c r="P113" i="1"/>
  <c r="N112" i="1"/>
  <c r="N110" i="1"/>
  <c r="N109" i="1"/>
  <c r="P109" i="1"/>
  <c r="N107" i="1"/>
  <c r="N106" i="1"/>
  <c r="N104" i="1"/>
  <c r="N102" i="1"/>
  <c r="N100" i="1"/>
  <c r="N98" i="1"/>
  <c r="N97" i="1"/>
  <c r="P97" i="1"/>
  <c r="O97" i="1"/>
  <c r="N96" i="1"/>
  <c r="N95" i="1"/>
  <c r="N94" i="1"/>
  <c r="N92" i="1"/>
  <c r="N90" i="1"/>
  <c r="P89" i="1"/>
  <c r="N87" i="1"/>
  <c r="N84" i="1"/>
  <c r="N77" i="1"/>
  <c r="P77" i="1"/>
  <c r="N73" i="1"/>
  <c r="O73" i="1"/>
  <c r="P72" i="1"/>
  <c r="N72" i="1"/>
  <c r="N71" i="1"/>
  <c r="P71" i="1"/>
  <c r="P65" i="1"/>
  <c r="N65" i="1"/>
  <c r="N30" i="1"/>
  <c r="N64" i="1"/>
  <c r="P64" i="1"/>
  <c r="N63" i="1"/>
  <c r="P63" i="1"/>
  <c r="N62" i="1"/>
  <c r="P62" i="1"/>
  <c r="N61" i="1"/>
  <c r="N58" i="1"/>
  <c r="O58" i="1"/>
  <c r="N57" i="1"/>
  <c r="N39" i="1"/>
  <c r="P34" i="1"/>
  <c r="P28" i="1"/>
  <c r="P19" i="1"/>
  <c r="O21" i="1"/>
  <c r="N88" i="1"/>
  <c r="P87" i="1"/>
  <c r="O87" i="1"/>
  <c r="N86" i="1"/>
  <c r="N85" i="1"/>
  <c r="N82" i="1"/>
  <c r="P81" i="1"/>
  <c r="N81" i="1"/>
  <c r="N80" i="1"/>
  <c r="P80" i="1"/>
  <c r="P79" i="1"/>
  <c r="N76" i="1"/>
  <c r="P75" i="1"/>
  <c r="N75" i="1"/>
  <c r="N74" i="1"/>
  <c r="P74" i="1"/>
  <c r="N70" i="1"/>
  <c r="N69" i="1"/>
  <c r="N68" i="1"/>
  <c r="P68" i="1"/>
  <c r="N66" i="1"/>
  <c r="N67" i="1"/>
  <c r="P67" i="1"/>
  <c r="O67" i="1"/>
  <c r="O66" i="1"/>
  <c r="O61" i="1"/>
  <c r="N60" i="1"/>
  <c r="P60" i="1"/>
  <c r="N59" i="1"/>
  <c r="P59" i="1"/>
  <c r="N54" i="1"/>
  <c r="O54" i="1"/>
  <c r="P54" i="1"/>
  <c r="O53" i="1"/>
  <c r="N49" i="1"/>
  <c r="O48" i="1"/>
  <c r="P40" i="1"/>
  <c r="O39" i="1"/>
  <c r="T35" i="1"/>
  <c r="N31" i="1"/>
  <c r="N28" i="1"/>
  <c r="N24" i="1"/>
  <c r="P22" i="1"/>
  <c r="T28" i="1"/>
  <c r="N55" i="1"/>
  <c r="O55" i="1"/>
  <c r="N52" i="1"/>
  <c r="N53" i="1"/>
  <c r="P52" i="1"/>
  <c r="P51" i="1"/>
  <c r="N51" i="1"/>
  <c r="N50" i="1"/>
  <c r="P50" i="1"/>
  <c r="P49" i="1"/>
  <c r="O49" i="1"/>
  <c r="N48" i="1"/>
  <c r="O38" i="1"/>
  <c r="P32" i="1"/>
  <c r="P31" i="1"/>
  <c r="N29" i="1"/>
  <c r="O25" i="1"/>
  <c r="P44" i="1"/>
  <c r="N32" i="1"/>
  <c r="P45" i="1"/>
  <c r="P18" i="1"/>
  <c r="N17" i="1"/>
  <c r="N44" i="1"/>
  <c r="N45" i="1"/>
  <c r="O47" i="1"/>
  <c r="N47" i="1"/>
  <c r="N46" i="1"/>
  <c r="O46" i="1"/>
  <c r="T29" i="1"/>
  <c r="N40" i="1"/>
  <c r="N37" i="1"/>
  <c r="N43" i="1"/>
  <c r="O42" i="1"/>
  <c r="N42" i="1"/>
  <c r="P42" i="1"/>
  <c r="N41" i="1"/>
  <c r="O41" i="1"/>
  <c r="N33" i="1"/>
  <c r="N38" i="1"/>
  <c r="N27" i="1"/>
  <c r="T37" i="1"/>
  <c r="O27" i="1"/>
  <c r="P33" i="1"/>
  <c r="N34" i="1"/>
  <c r="N26" i="1"/>
  <c r="N23" i="1"/>
  <c r="P23" i="1"/>
  <c r="N20" i="1"/>
  <c r="N25" i="1"/>
  <c r="N19" i="1"/>
  <c r="O16" i="1"/>
  <c r="P16" i="1"/>
  <c r="T26" i="1"/>
  <c r="O30" i="1"/>
  <c r="P30" i="1"/>
  <c r="T21" i="1"/>
  <c r="N21" i="1"/>
  <c r="T18" i="1"/>
  <c r="N18" i="1"/>
  <c r="N22" i="1"/>
  <c r="P20" i="1"/>
  <c r="O20" i="1"/>
  <c r="O26" i="1"/>
  <c r="P26" i="1"/>
  <c r="T20" i="1"/>
  <c r="O24" i="1"/>
  <c r="T16" i="1"/>
  <c r="N16" i="1"/>
  <c r="O17" i="1"/>
  <c r="P17" i="1"/>
  <c r="G14" i="1" l="1"/>
  <c r="M15" i="1"/>
  <c r="G15" i="1" s="1"/>
  <c r="A1" i="2" l="1" a="1"/>
  <c r="C125" i="2" l="1"/>
  <c r="D24" i="2"/>
  <c r="E94" i="2"/>
  <c r="C166" i="2"/>
  <c r="P5" i="2"/>
  <c r="B151" i="2"/>
  <c r="O121" i="2"/>
  <c r="E112" i="2"/>
  <c r="B19" i="2"/>
  <c r="C71" i="2"/>
  <c r="C191" i="2"/>
  <c r="D115" i="2"/>
  <c r="P110" i="2"/>
  <c r="P127" i="2"/>
  <c r="E212" i="2"/>
  <c r="E168" i="2"/>
  <c r="D153" i="2"/>
  <c r="C114" i="2"/>
  <c r="P87" i="2"/>
  <c r="M4" i="2"/>
  <c r="O104" i="2"/>
  <c r="E180" i="2"/>
  <c r="C100" i="2"/>
  <c r="E122" i="2"/>
  <c r="P94" i="2"/>
  <c r="E103" i="2"/>
  <c r="N197" i="2"/>
  <c r="O3" i="2"/>
  <c r="P2" i="2"/>
  <c r="C211" i="2"/>
  <c r="N99" i="2"/>
  <c r="E101" i="2"/>
  <c r="C202" i="2"/>
  <c r="N57" i="2"/>
  <c r="E49" i="2"/>
  <c r="O206" i="2"/>
  <c r="B206" i="2"/>
  <c r="O57" i="2"/>
  <c r="B63" i="2"/>
  <c r="P165" i="2"/>
  <c r="C55" i="2"/>
  <c r="E60" i="2"/>
  <c r="C60" i="2"/>
  <c r="A4" i="2"/>
  <c r="E161" i="2"/>
  <c r="C200" i="2"/>
  <c r="D110" i="2"/>
  <c r="C150" i="2"/>
  <c r="E131" i="2"/>
  <c r="E9" i="2"/>
  <c r="B21" i="2"/>
  <c r="D65" i="2"/>
  <c r="C155" i="2"/>
  <c r="N177" i="2"/>
  <c r="D185" i="2"/>
  <c r="E134" i="2"/>
  <c r="B162" i="2"/>
  <c r="B118" i="2"/>
  <c r="O175" i="2"/>
  <c r="O167" i="2"/>
  <c r="C128" i="2"/>
  <c r="E173" i="2"/>
  <c r="E166" i="2"/>
  <c r="B35" i="2"/>
  <c r="C190" i="2"/>
  <c r="C112" i="2"/>
  <c r="D38" i="2"/>
  <c r="P81" i="2"/>
  <c r="A7" i="2"/>
  <c r="C101" i="2"/>
  <c r="B4" i="2"/>
  <c r="G9" i="2"/>
  <c r="B16" i="2"/>
  <c r="D176" i="2"/>
  <c r="D206" i="2"/>
  <c r="N102" i="2"/>
  <c r="O64" i="2"/>
  <c r="O83" i="2"/>
  <c r="O125" i="2"/>
  <c r="D37" i="2"/>
  <c r="P137" i="2"/>
  <c r="C139" i="2"/>
  <c r="O9" i="2"/>
  <c r="O136" i="2"/>
  <c r="C17" i="2"/>
  <c r="N97" i="2"/>
  <c r="B177" i="2"/>
  <c r="B126" i="2"/>
  <c r="P164" i="2"/>
  <c r="D21" i="2"/>
  <c r="E129" i="2"/>
  <c r="B29" i="2"/>
  <c r="C56" i="2"/>
  <c r="D32" i="2"/>
  <c r="N69" i="2"/>
  <c r="D50" i="2"/>
  <c r="C147" i="2"/>
  <c r="O156" i="2"/>
  <c r="C69" i="2"/>
  <c r="C103" i="2"/>
  <c r="D149" i="2"/>
  <c r="E154" i="2"/>
  <c r="B95" i="2"/>
  <c r="E61" i="2"/>
  <c r="N163" i="2"/>
  <c r="C204" i="2"/>
  <c r="N117" i="2"/>
  <c r="E201" i="2"/>
  <c r="B97" i="2"/>
  <c r="O99" i="2"/>
  <c r="O209" i="2"/>
  <c r="E115" i="2"/>
  <c r="O51" i="2"/>
  <c r="P199" i="2"/>
  <c r="N128" i="2"/>
  <c r="P6" i="2"/>
  <c r="I9" i="2"/>
  <c r="N140" i="2"/>
  <c r="O101" i="2"/>
  <c r="P8" i="2"/>
  <c r="E96" i="2"/>
  <c r="N112" i="2"/>
  <c r="C22" i="2"/>
  <c r="O74" i="2"/>
  <c r="B188" i="2"/>
  <c r="B30" i="2"/>
  <c r="F5" i="2"/>
  <c r="P4" i="2"/>
  <c r="B28" i="2"/>
  <c r="B18" i="2"/>
  <c r="B48" i="2"/>
  <c r="E113" i="2"/>
  <c r="E169" i="2"/>
  <c r="N59" i="2"/>
  <c r="P163" i="2"/>
  <c r="O149" i="2"/>
  <c r="D9" i="2"/>
  <c r="N122" i="2"/>
  <c r="P192" i="2"/>
  <c r="O180" i="2"/>
  <c r="P125" i="2"/>
  <c r="P189" i="2"/>
  <c r="C148" i="2"/>
  <c r="C176" i="2"/>
  <c r="P51" i="2"/>
  <c r="B34" i="2"/>
  <c r="D190" i="2"/>
  <c r="D135" i="2"/>
  <c r="O191" i="2"/>
  <c r="D119" i="2"/>
  <c r="C186" i="2"/>
  <c r="B139" i="2"/>
  <c r="N149" i="2"/>
  <c r="O66" i="2"/>
  <c r="F7" i="2"/>
  <c r="O158" i="2"/>
  <c r="B49" i="2"/>
  <c r="E107" i="2"/>
  <c r="C27" i="2"/>
  <c r="P116" i="2"/>
  <c r="D165" i="2"/>
  <c r="I6" i="2"/>
  <c r="O52" i="2"/>
  <c r="P131" i="2"/>
  <c r="N165" i="2"/>
  <c r="P175" i="2"/>
  <c r="C194" i="2"/>
  <c r="O44" i="2"/>
  <c r="D3" i="2"/>
  <c r="B45" i="2"/>
  <c r="D10" i="2"/>
  <c r="E155" i="2"/>
  <c r="E202" i="2"/>
  <c r="B17" i="2"/>
  <c r="E67" i="2"/>
  <c r="E170" i="2"/>
  <c r="D166" i="2"/>
  <c r="F1" i="2"/>
  <c r="C66" i="2"/>
  <c r="O170" i="2"/>
  <c r="C169" i="2"/>
  <c r="C52" i="2"/>
  <c r="N139" i="2"/>
  <c r="E56" i="2"/>
  <c r="O179" i="2"/>
  <c r="B125" i="2"/>
  <c r="B135" i="2"/>
  <c r="C158" i="2"/>
  <c r="O190" i="2"/>
  <c r="C187" i="2"/>
  <c r="D199" i="2"/>
  <c r="O109" i="2"/>
  <c r="A11" i="2"/>
  <c r="E89" i="2"/>
  <c r="P139" i="2"/>
  <c r="P99" i="2"/>
  <c r="P103" i="2"/>
  <c r="N2" i="2"/>
  <c r="B26" i="2"/>
  <c r="P129" i="2"/>
  <c r="E144" i="2"/>
  <c r="P67" i="2"/>
  <c r="O152" i="2"/>
  <c r="B25" i="2"/>
  <c r="D14" i="2"/>
  <c r="E50" i="2"/>
  <c r="O147" i="2"/>
  <c r="O184" i="2"/>
  <c r="N109" i="2"/>
  <c r="O72" i="2"/>
  <c r="C72" i="2"/>
  <c r="B22" i="2"/>
  <c r="P47" i="2"/>
  <c r="J9" i="2"/>
  <c r="E4" i="2"/>
  <c r="N184" i="2"/>
  <c r="N179" i="2"/>
  <c r="B123" i="2"/>
  <c r="O155" i="2"/>
  <c r="D120" i="2"/>
  <c r="N178" i="2"/>
  <c r="B174" i="2"/>
  <c r="E86" i="2"/>
  <c r="N155" i="2"/>
  <c r="B36" i="2"/>
  <c r="D15" i="2"/>
  <c r="C195" i="2"/>
  <c r="O186" i="2"/>
  <c r="C185" i="2"/>
  <c r="N160" i="2"/>
  <c r="D141" i="2"/>
  <c r="B9" i="2"/>
  <c r="O98" i="2"/>
  <c r="E199" i="2"/>
  <c r="O73" i="2"/>
  <c r="L2" i="2"/>
  <c r="N3" i="2"/>
  <c r="B71" i="2"/>
  <c r="D175" i="2"/>
  <c r="D132" i="2"/>
  <c r="O93" i="2"/>
  <c r="N48" i="2"/>
  <c r="P172" i="2"/>
  <c r="C206" i="2"/>
  <c r="C132" i="2"/>
  <c r="B15" i="2"/>
  <c r="O119" i="2"/>
  <c r="N60" i="2"/>
  <c r="D204" i="2"/>
  <c r="C86" i="2"/>
  <c r="B185" i="2"/>
  <c r="N47" i="2"/>
  <c r="P158" i="2"/>
  <c r="N208" i="2"/>
  <c r="C138" i="2"/>
  <c r="D42" i="2"/>
  <c r="B39" i="2"/>
  <c r="O82" i="2"/>
  <c r="O1" i="2"/>
  <c r="P104" i="2"/>
  <c r="E118" i="2"/>
  <c r="O60" i="2"/>
  <c r="A1" i="2"/>
  <c r="B192" i="2"/>
  <c r="E198" i="2"/>
  <c r="C28" i="2"/>
  <c r="J8" i="2"/>
  <c r="C197" i="2"/>
  <c r="B83" i="2"/>
  <c r="N8" i="2"/>
  <c r="C97" i="2"/>
  <c r="B169" i="2"/>
  <c r="N136" i="2"/>
  <c r="B11" i="2"/>
  <c r="P157" i="2"/>
  <c r="D90" i="2"/>
  <c r="D86" i="2"/>
  <c r="O76" i="2"/>
  <c r="C179" i="2"/>
  <c r="P138" i="2"/>
  <c r="N172" i="2"/>
  <c r="B196" i="2"/>
  <c r="C142" i="2"/>
  <c r="P70" i="2"/>
  <c r="C59" i="2"/>
  <c r="E143" i="2"/>
  <c r="N180" i="2"/>
  <c r="I7" i="2"/>
  <c r="D151" i="2"/>
  <c r="E190" i="2"/>
  <c r="C134" i="2"/>
  <c r="C83" i="2"/>
  <c r="D208" i="2"/>
  <c r="C77" i="2"/>
  <c r="B43" i="2"/>
  <c r="E187" i="2"/>
  <c r="P182" i="2"/>
  <c r="O97" i="2"/>
  <c r="E44" i="2"/>
  <c r="G4" i="2"/>
  <c r="N83" i="2"/>
  <c r="D114" i="2"/>
  <c r="C135" i="2"/>
  <c r="C117" i="2"/>
  <c r="D207" i="2"/>
  <c r="E151" i="2"/>
  <c r="B105" i="2"/>
  <c r="M6" i="2"/>
  <c r="O110" i="2"/>
  <c r="N87" i="2"/>
  <c r="C98" i="2"/>
  <c r="E200" i="2"/>
  <c r="N144" i="2"/>
  <c r="F6" i="2"/>
  <c r="D99" i="2"/>
  <c r="P90" i="2"/>
  <c r="C68" i="2"/>
  <c r="P149" i="2"/>
  <c r="P197" i="2"/>
  <c r="B69" i="2"/>
  <c r="C18" i="2"/>
  <c r="N77" i="2"/>
  <c r="O143" i="2"/>
  <c r="D54" i="2"/>
  <c r="D174" i="2"/>
  <c r="N171" i="2"/>
  <c r="P65" i="2"/>
  <c r="B159" i="2"/>
  <c r="P114" i="2"/>
  <c r="C141" i="2"/>
  <c r="O177" i="2"/>
  <c r="P126" i="2"/>
  <c r="F2" i="2"/>
  <c r="C184" i="2"/>
  <c r="E163" i="2"/>
  <c r="B148" i="2"/>
  <c r="C63" i="2"/>
  <c r="N119" i="2"/>
  <c r="E76" i="2"/>
  <c r="E53" i="2"/>
  <c r="O10" i="2"/>
  <c r="E160" i="2"/>
  <c r="B57" i="2"/>
  <c r="P212" i="2"/>
  <c r="B59" i="2"/>
  <c r="O205" i="2"/>
  <c r="B80" i="2"/>
  <c r="P40" i="2"/>
  <c r="E146" i="2"/>
  <c r="P202" i="2"/>
  <c r="P86" i="2"/>
  <c r="E197" i="2"/>
  <c r="N189" i="2"/>
  <c r="E34" i="2"/>
  <c r="P123" i="2"/>
  <c r="I8" i="2"/>
  <c r="N207" i="2"/>
  <c r="O59" i="2"/>
  <c r="O61" i="2"/>
  <c r="D139" i="2"/>
  <c r="P43" i="2"/>
  <c r="P206" i="2"/>
  <c r="O67" i="2"/>
  <c r="D1" i="2"/>
  <c r="P102" i="2"/>
  <c r="B72" i="2"/>
  <c r="D55" i="2"/>
  <c r="B204" i="2"/>
  <c r="P146" i="2"/>
  <c r="B5" i="2"/>
  <c r="P121" i="2"/>
  <c r="D191" i="2"/>
  <c r="C9" i="2"/>
  <c r="E196" i="2"/>
  <c r="C102" i="2"/>
  <c r="D51" i="2"/>
  <c r="B68" i="2"/>
  <c r="D155" i="2"/>
  <c r="B56" i="2"/>
  <c r="P96" i="2"/>
  <c r="E165" i="2"/>
  <c r="P89" i="2"/>
  <c r="O62" i="2"/>
  <c r="D52" i="2"/>
  <c r="C3" i="2"/>
  <c r="C48" i="2"/>
  <c r="E82" i="2"/>
  <c r="D152" i="2"/>
  <c r="D100" i="2"/>
  <c r="L4" i="2"/>
  <c r="E206" i="2"/>
  <c r="P113" i="2"/>
  <c r="D102" i="2"/>
  <c r="D171" i="2"/>
  <c r="E135" i="2"/>
  <c r="C42" i="2"/>
  <c r="D31" i="2"/>
  <c r="B117" i="2"/>
  <c r="N90" i="2"/>
  <c r="C46" i="2"/>
  <c r="C203" i="2"/>
  <c r="D88" i="2"/>
  <c r="C104" i="2"/>
  <c r="E52" i="2"/>
  <c r="C54" i="2"/>
  <c r="O85" i="2"/>
  <c r="N186" i="2"/>
  <c r="O49" i="2"/>
  <c r="E64" i="2"/>
  <c r="D195" i="2"/>
  <c r="B24" i="2"/>
  <c r="B10" i="2"/>
  <c r="B86" i="2"/>
  <c r="D178" i="2"/>
  <c r="D187" i="2"/>
  <c r="D101" i="2"/>
  <c r="O181" i="2"/>
  <c r="N205" i="2"/>
  <c r="B108" i="2"/>
  <c r="J2" i="2"/>
  <c r="P211" i="2"/>
  <c r="D126" i="2"/>
  <c r="O211" i="2"/>
  <c r="O145" i="2"/>
  <c r="B184" i="2"/>
  <c r="E142" i="2"/>
  <c r="G6" i="2"/>
  <c r="B128" i="2"/>
  <c r="B13" i="2"/>
  <c r="D107" i="2"/>
  <c r="E140" i="2"/>
  <c r="C2" i="2"/>
  <c r="B14" i="2"/>
  <c r="D45" i="2"/>
  <c r="O171" i="2"/>
  <c r="H10" i="2"/>
  <c r="N120" i="2"/>
  <c r="D142" i="2"/>
  <c r="G8" i="2"/>
  <c r="P88" i="2"/>
  <c r="D66" i="2"/>
  <c r="P191" i="2"/>
  <c r="E48" i="2"/>
  <c r="D73" i="2"/>
  <c r="O168" i="2"/>
  <c r="E68" i="2"/>
  <c r="B145" i="2"/>
  <c r="O102" i="2"/>
  <c r="E7" i="2"/>
  <c r="E79" i="2"/>
  <c r="B107" i="2"/>
  <c r="O86" i="2"/>
  <c r="D181" i="2"/>
  <c r="O131" i="2"/>
  <c r="C45" i="2"/>
  <c r="B64" i="2"/>
  <c r="E208" i="2"/>
  <c r="P7" i="2"/>
  <c r="O120" i="2"/>
  <c r="C115" i="2"/>
  <c r="B142" i="2"/>
  <c r="C20" i="2"/>
  <c r="D36" i="2"/>
  <c r="D163" i="2"/>
  <c r="K8" i="2"/>
  <c r="D170" i="2"/>
  <c r="B195" i="2"/>
  <c r="O195" i="2"/>
  <c r="C64" i="2"/>
  <c r="K4" i="2"/>
  <c r="B96" i="2"/>
  <c r="B75" i="2"/>
  <c r="B172" i="2"/>
  <c r="D109" i="2"/>
  <c r="L5" i="2"/>
  <c r="E77" i="2"/>
  <c r="C35" i="2"/>
  <c r="P62" i="2"/>
  <c r="C151" i="2"/>
  <c r="D61" i="2"/>
  <c r="A9" i="2"/>
  <c r="P134" i="2"/>
  <c r="N194" i="2"/>
  <c r="N206" i="2"/>
  <c r="O47" i="2"/>
  <c r="N1" i="2"/>
  <c r="N116" i="2"/>
  <c r="P117" i="2"/>
  <c r="B41" i="2"/>
  <c r="P73" i="2"/>
  <c r="O146" i="2"/>
  <c r="P177" i="2"/>
  <c r="N133" i="2"/>
  <c r="E66" i="2"/>
  <c r="D205" i="2"/>
  <c r="O113" i="2"/>
  <c r="B33" i="2"/>
  <c r="O90" i="2"/>
  <c r="O150" i="2"/>
  <c r="D53" i="2"/>
  <c r="P115" i="2"/>
  <c r="C5" i="2"/>
  <c r="O138" i="2"/>
  <c r="C106" i="2"/>
  <c r="A8" i="2"/>
  <c r="C161" i="2"/>
  <c r="A3" i="2"/>
  <c r="O70" i="2"/>
  <c r="O95" i="2"/>
  <c r="D164" i="2"/>
  <c r="N6" i="2"/>
  <c r="N204" i="2"/>
  <c r="D46" i="2"/>
  <c r="C8" i="2"/>
  <c r="E110" i="2"/>
  <c r="N114" i="2"/>
  <c r="N176" i="2"/>
  <c r="C47" i="2"/>
  <c r="E158" i="2"/>
  <c r="D41" i="2"/>
  <c r="O182" i="2"/>
  <c r="E5" i="2"/>
  <c r="O133" i="2"/>
  <c r="E182" i="2"/>
  <c r="D49" i="2"/>
  <c r="D128" i="2"/>
  <c r="E139" i="2"/>
  <c r="N64" i="2"/>
  <c r="D180" i="2"/>
  <c r="N68" i="2"/>
  <c r="D129" i="2"/>
  <c r="N66" i="2"/>
  <c r="C163" i="2"/>
  <c r="P176" i="2"/>
  <c r="E93" i="2"/>
  <c r="B137" i="2"/>
  <c r="B38" i="2"/>
  <c r="D18" i="2"/>
  <c r="D95" i="2"/>
  <c r="E97" i="2"/>
  <c r="D35" i="2"/>
  <c r="N118" i="2"/>
  <c r="C193" i="2"/>
  <c r="E85" i="2"/>
  <c r="N166" i="2"/>
  <c r="C152" i="2"/>
  <c r="C67" i="2"/>
  <c r="N96" i="2"/>
  <c r="K7" i="2"/>
  <c r="P48" i="2"/>
  <c r="E192" i="2"/>
  <c r="C62" i="2"/>
  <c r="E157" i="2"/>
  <c r="P166" i="2"/>
  <c r="N35" i="2"/>
  <c r="D201" i="2"/>
  <c r="D211" i="2"/>
  <c r="D93" i="2"/>
  <c r="P128" i="2"/>
  <c r="D87" i="2"/>
  <c r="D62" i="2"/>
  <c r="J7" i="2"/>
  <c r="C154" i="2"/>
  <c r="B102" i="2"/>
  <c r="B173" i="2"/>
  <c r="N125" i="2"/>
  <c r="O176" i="2"/>
  <c r="P9" i="2"/>
  <c r="B127" i="2"/>
  <c r="B101" i="2"/>
  <c r="O192" i="2"/>
  <c r="B175" i="2"/>
  <c r="B150" i="2"/>
  <c r="O56" i="2"/>
  <c r="P174" i="2"/>
  <c r="O75" i="2"/>
  <c r="P209" i="2"/>
  <c r="E174" i="2"/>
  <c r="B42" i="2"/>
  <c r="P201" i="2"/>
  <c r="E194" i="2"/>
  <c r="O43" i="2"/>
  <c r="B58" i="2"/>
  <c r="F8" i="2"/>
  <c r="D159" i="2"/>
  <c r="C156" i="2"/>
  <c r="C33" i="2"/>
  <c r="N7" i="2"/>
  <c r="O6" i="2"/>
  <c r="D137" i="2"/>
  <c r="E74" i="2"/>
  <c r="C7" i="2"/>
  <c r="N134" i="2"/>
  <c r="P210" i="2"/>
  <c r="B46" i="2"/>
  <c r="C61" i="2"/>
  <c r="B40" i="2"/>
  <c r="O79" i="2"/>
  <c r="K10" i="2"/>
  <c r="P203" i="2"/>
  <c r="P120" i="2"/>
  <c r="B157" i="2"/>
  <c r="D144" i="2"/>
  <c r="M9" i="2"/>
  <c r="D13" i="2"/>
  <c r="D20" i="2"/>
  <c r="O5" i="2"/>
  <c r="E209" i="2"/>
  <c r="C79" i="2"/>
  <c r="O183" i="2"/>
  <c r="N196" i="2"/>
  <c r="E73" i="2"/>
  <c r="C94" i="2"/>
  <c r="D56" i="2"/>
  <c r="P49" i="2"/>
  <c r="E203" i="2"/>
  <c r="C133" i="2"/>
  <c r="P98" i="2"/>
  <c r="E181" i="2"/>
  <c r="B164" i="2"/>
  <c r="P154" i="2"/>
  <c r="N54" i="2"/>
  <c r="D69" i="2"/>
  <c r="B7" i="2"/>
  <c r="D71" i="2"/>
  <c r="D123" i="2"/>
  <c r="O87" i="2"/>
  <c r="N86" i="2"/>
  <c r="P159" i="2"/>
  <c r="C91" i="2"/>
  <c r="N130" i="2"/>
  <c r="E195" i="2"/>
  <c r="P135" i="2"/>
  <c r="E32" i="2"/>
  <c r="M1" i="2"/>
  <c r="B115" i="2"/>
  <c r="H1" i="2"/>
  <c r="B186" i="2"/>
  <c r="E191" i="2"/>
  <c r="B121" i="2"/>
  <c r="E38" i="2"/>
  <c r="C113" i="2"/>
  <c r="P170" i="2"/>
  <c r="C39" i="2"/>
  <c r="N132" i="2"/>
  <c r="P188" i="2"/>
  <c r="E106" i="2"/>
  <c r="D177" i="2"/>
  <c r="O69" i="2"/>
  <c r="D97" i="2"/>
  <c r="C199" i="2"/>
  <c r="C143" i="2"/>
  <c r="D2" i="2"/>
  <c r="E205" i="2"/>
  <c r="E75" i="2"/>
  <c r="O126" i="2"/>
  <c r="D200" i="2"/>
  <c r="B140" i="2"/>
  <c r="D4" i="2"/>
  <c r="E90" i="2"/>
  <c r="D33" i="2"/>
  <c r="B32" i="2"/>
  <c r="P173" i="2"/>
  <c r="C38" i="2"/>
  <c r="P60" i="2"/>
  <c r="C96" i="2"/>
  <c r="O164" i="2"/>
  <c r="N62" i="2"/>
  <c r="O198" i="2"/>
  <c r="N94" i="2"/>
  <c r="N70" i="2"/>
  <c r="D40" i="2"/>
  <c r="O199" i="2"/>
  <c r="D30" i="2"/>
  <c r="D43" i="2"/>
  <c r="B198" i="2"/>
  <c r="O162" i="2"/>
  <c r="D104" i="2"/>
  <c r="D79" i="2"/>
  <c r="N146" i="2"/>
  <c r="O127" i="2"/>
  <c r="O106" i="2"/>
  <c r="N111" i="2"/>
  <c r="B180" i="2"/>
  <c r="H3" i="2"/>
  <c r="P64" i="2"/>
  <c r="N126" i="2"/>
  <c r="N106" i="2"/>
  <c r="D94" i="2"/>
  <c r="N82" i="2"/>
  <c r="P97" i="2"/>
  <c r="N108" i="2"/>
  <c r="C178" i="2"/>
  <c r="C34" i="2"/>
  <c r="B154" i="2"/>
  <c r="J3" i="2"/>
  <c r="P181" i="2"/>
  <c r="N93" i="2"/>
  <c r="B199" i="2"/>
  <c r="O129" i="2"/>
  <c r="N76" i="2"/>
  <c r="B160" i="2"/>
  <c r="B100" i="2"/>
  <c r="B163" i="2"/>
  <c r="E108" i="2"/>
  <c r="C105" i="2"/>
  <c r="C120" i="2"/>
  <c r="B88" i="2"/>
  <c r="E127" i="2"/>
  <c r="O144" i="2"/>
  <c r="N185" i="2"/>
  <c r="A6" i="2"/>
  <c r="N151" i="2"/>
  <c r="P92" i="2"/>
  <c r="B176" i="2"/>
  <c r="C65" i="2"/>
  <c r="C116" i="2"/>
  <c r="N91" i="2"/>
  <c r="N24" i="2"/>
  <c r="N72" i="2"/>
  <c r="N101" i="2"/>
  <c r="D145" i="2"/>
  <c r="O80" i="2"/>
  <c r="P144" i="2"/>
  <c r="O81" i="2"/>
  <c r="E71" i="2"/>
  <c r="O68" i="2"/>
  <c r="N103" i="2"/>
  <c r="B182" i="2"/>
  <c r="C160" i="2"/>
  <c r="O165" i="2"/>
  <c r="P200" i="2"/>
  <c r="P207" i="2"/>
  <c r="E210" i="2"/>
  <c r="D133" i="2"/>
  <c r="C76" i="2"/>
  <c r="C51" i="2"/>
  <c r="C121" i="2"/>
  <c r="B65" i="2"/>
  <c r="P156" i="2"/>
  <c r="N157" i="2"/>
  <c r="O111" i="2"/>
  <c r="O53" i="2"/>
  <c r="B207" i="2"/>
  <c r="E54" i="2"/>
  <c r="P187" i="2"/>
  <c r="O154" i="2"/>
  <c r="O48" i="2"/>
  <c r="O105" i="2"/>
  <c r="P57" i="2"/>
  <c r="J1" i="2"/>
  <c r="C162" i="2"/>
  <c r="D89" i="2"/>
  <c r="E18" i="2"/>
  <c r="D78" i="2"/>
  <c r="D17" i="2"/>
  <c r="N153" i="2"/>
  <c r="E98" i="2"/>
  <c r="D8" i="2"/>
  <c r="P143" i="2"/>
  <c r="E133" i="2"/>
  <c r="C70" i="2"/>
  <c r="H9" i="2"/>
  <c r="N170" i="2"/>
  <c r="O197" i="2"/>
  <c r="N188" i="2"/>
  <c r="P3" i="2"/>
  <c r="D183" i="2"/>
  <c r="B190" i="2"/>
  <c r="E207" i="2"/>
  <c r="E153" i="2"/>
  <c r="E57" i="2"/>
  <c r="O159" i="2"/>
  <c r="C43" i="2"/>
  <c r="E35" i="2"/>
  <c r="O103" i="2"/>
  <c r="M5" i="2"/>
  <c r="D150" i="2"/>
  <c r="O169" i="2"/>
  <c r="O148" i="2"/>
  <c r="N9" i="2"/>
  <c r="D84" i="2"/>
  <c r="P194" i="2"/>
  <c r="P162" i="2"/>
  <c r="C153" i="2"/>
  <c r="D189" i="2"/>
  <c r="C44" i="2"/>
  <c r="L3" i="2"/>
  <c r="C108" i="2"/>
  <c r="B52" i="2"/>
  <c r="D76" i="2"/>
  <c r="C183" i="2"/>
  <c r="C41" i="2"/>
  <c r="O117" i="2"/>
  <c r="N5" i="2"/>
  <c r="P195" i="2"/>
  <c r="E183" i="2"/>
  <c r="O55" i="2"/>
  <c r="E99" i="2"/>
  <c r="D83" i="2"/>
  <c r="P18" i="2"/>
  <c r="O208" i="2"/>
  <c r="B2" i="2"/>
  <c r="B181" i="2"/>
  <c r="L10" i="2"/>
  <c r="O108" i="2"/>
  <c r="P140" i="2"/>
  <c r="N175" i="2"/>
  <c r="E188" i="2"/>
  <c r="N193" i="2"/>
  <c r="D111" i="2"/>
  <c r="C25" i="2"/>
  <c r="D113" i="2"/>
  <c r="P119" i="2"/>
  <c r="E150" i="2"/>
  <c r="O172" i="2"/>
  <c r="E124" i="2"/>
  <c r="B194" i="2"/>
  <c r="D80" i="2"/>
  <c r="E204" i="2"/>
  <c r="I5" i="2"/>
  <c r="B94" i="2"/>
  <c r="B165" i="2"/>
  <c r="C37" i="2"/>
  <c r="N190" i="2"/>
  <c r="G7" i="2"/>
  <c r="O71" i="2"/>
  <c r="E58" i="2"/>
  <c r="O115" i="2"/>
  <c r="N142" i="2"/>
  <c r="B136" i="2"/>
  <c r="P148" i="2"/>
  <c r="B47" i="2"/>
  <c r="E184" i="2"/>
  <c r="I3" i="2"/>
  <c r="E119" i="2"/>
  <c r="E120" i="2"/>
  <c r="O202" i="2"/>
  <c r="E95" i="2"/>
  <c r="P68" i="2"/>
  <c r="B161" i="2"/>
  <c r="D59" i="2"/>
  <c r="P84" i="2"/>
  <c r="B8" i="2"/>
  <c r="C92" i="2"/>
  <c r="C175" i="2"/>
  <c r="C177" i="2"/>
  <c r="B99" i="2"/>
  <c r="O123" i="2"/>
  <c r="P82" i="2"/>
  <c r="C50" i="2"/>
  <c r="N67" i="2"/>
  <c r="M7" i="2"/>
  <c r="D168" i="2"/>
  <c r="B170" i="2"/>
  <c r="O118" i="2"/>
  <c r="B201" i="2"/>
  <c r="B37" i="2"/>
  <c r="C189" i="2"/>
  <c r="P95" i="2"/>
  <c r="E125" i="2"/>
  <c r="E69" i="2"/>
  <c r="B203" i="2"/>
  <c r="N148" i="2"/>
  <c r="N131" i="2"/>
  <c r="N80" i="2"/>
  <c r="D158" i="2"/>
  <c r="C30" i="2"/>
  <c r="N107" i="2"/>
  <c r="C210" i="2"/>
  <c r="E43" i="2"/>
  <c r="D160" i="2"/>
  <c r="D146" i="2"/>
  <c r="N50" i="2"/>
  <c r="A10" i="2"/>
  <c r="A2" i="2"/>
  <c r="G2" i="2"/>
  <c r="B79" i="2"/>
  <c r="C49" i="2"/>
  <c r="N74" i="2"/>
  <c r="P106" i="2"/>
  <c r="C12" i="2"/>
  <c r="K211" i="2"/>
  <c r="N105" i="2"/>
  <c r="P132" i="2"/>
  <c r="O96" i="2"/>
  <c r="B93" i="2"/>
  <c r="O185" i="2"/>
  <c r="C164" i="2"/>
  <c r="D124" i="2"/>
  <c r="C85" i="2"/>
  <c r="E137" i="2"/>
  <c r="N147" i="2"/>
  <c r="D138" i="2"/>
  <c r="N201" i="2"/>
  <c r="C93" i="2"/>
  <c r="B44" i="2"/>
  <c r="C29" i="2"/>
  <c r="F3" i="2"/>
  <c r="O140" i="2"/>
  <c r="C188" i="2"/>
  <c r="O94" i="2"/>
  <c r="C124" i="2"/>
  <c r="C23" i="2"/>
  <c r="O89" i="2"/>
  <c r="E121" i="2"/>
  <c r="C31" i="2"/>
  <c r="C99" i="2"/>
  <c r="E189" i="2"/>
  <c r="P122" i="2"/>
  <c r="C129" i="2"/>
  <c r="C78" i="2"/>
  <c r="O194" i="2"/>
  <c r="O114" i="2"/>
  <c r="C172" i="2"/>
  <c r="E185" i="2"/>
  <c r="E164" i="2"/>
  <c r="E162" i="2"/>
  <c r="B133" i="2"/>
  <c r="B210" i="2"/>
  <c r="E126" i="2"/>
  <c r="B202" i="2"/>
  <c r="D11" i="2"/>
  <c r="D27" i="2"/>
  <c r="C57" i="2"/>
  <c r="N169" i="2"/>
  <c r="N113" i="2"/>
  <c r="C95" i="2"/>
  <c r="O139" i="2"/>
  <c r="O65" i="2"/>
  <c r="C209" i="2"/>
  <c r="D103" i="2"/>
  <c r="N209" i="2"/>
  <c r="P74" i="2"/>
  <c r="B130" i="2"/>
  <c r="O7" i="2"/>
  <c r="N78" i="2"/>
  <c r="B54" i="2"/>
  <c r="D197" i="2"/>
  <c r="E136" i="2"/>
  <c r="B208" i="2"/>
  <c r="C149" i="2"/>
  <c r="N61" i="2"/>
  <c r="B144" i="2"/>
  <c r="E105" i="2"/>
  <c r="O124" i="2"/>
  <c r="C15" i="2"/>
  <c r="O63" i="2"/>
  <c r="N98" i="2"/>
  <c r="E179" i="2"/>
  <c r="D85" i="2"/>
  <c r="D209" i="2"/>
  <c r="C109" i="2"/>
  <c r="C171" i="2"/>
  <c r="N115" i="2"/>
  <c r="C145" i="2"/>
  <c r="P58" i="2"/>
  <c r="P179" i="2"/>
  <c r="P55" i="2"/>
  <c r="N52" i="2"/>
  <c r="N73" i="2"/>
  <c r="D194" i="2"/>
  <c r="B141" i="2"/>
  <c r="N129" i="2"/>
  <c r="O178" i="2"/>
  <c r="D179" i="2"/>
  <c r="D125" i="2"/>
  <c r="C205" i="2"/>
  <c r="B179" i="2"/>
  <c r="P85" i="2"/>
  <c r="N138" i="2"/>
  <c r="E138" i="2"/>
  <c r="D77" i="2"/>
  <c r="B187" i="2"/>
  <c r="H8" i="2"/>
  <c r="E132" i="2"/>
  <c r="O50" i="2"/>
  <c r="B106" i="2"/>
  <c r="E92" i="2"/>
  <c r="P59" i="2"/>
  <c r="N55" i="2"/>
  <c r="P171" i="2"/>
  <c r="P63" i="2"/>
  <c r="N162" i="2"/>
  <c r="D70" i="2"/>
  <c r="P124" i="2"/>
  <c r="C174" i="2"/>
  <c r="E172" i="2"/>
  <c r="O163" i="2"/>
  <c r="L8" i="2"/>
  <c r="C32" i="2"/>
  <c r="N168" i="2"/>
  <c r="E177" i="2"/>
  <c r="M10" i="2"/>
  <c r="C182" i="2"/>
  <c r="M8" i="2"/>
  <c r="B191" i="2"/>
  <c r="E83" i="2"/>
  <c r="D121" i="2"/>
  <c r="O201" i="2"/>
  <c r="D22" i="2"/>
  <c r="C212" i="2"/>
  <c r="C167" i="2"/>
  <c r="K9" i="2"/>
  <c r="C107" i="2"/>
  <c r="K206" i="2"/>
  <c r="E11" i="2"/>
  <c r="O19" i="2"/>
  <c r="G212" i="2"/>
  <c r="O21" i="2"/>
  <c r="F191" i="2"/>
  <c r="K212" i="2"/>
  <c r="O45" i="2"/>
  <c r="I186" i="2"/>
  <c r="P21" i="2"/>
  <c r="J188" i="2"/>
  <c r="L206" i="2"/>
  <c r="H209" i="2"/>
  <c r="G191" i="2"/>
  <c r="G184" i="2"/>
  <c r="H194" i="2"/>
  <c r="P45" i="2"/>
  <c r="J208" i="2"/>
  <c r="G206" i="2"/>
  <c r="J209" i="2"/>
  <c r="I209" i="2"/>
  <c r="J191" i="2"/>
  <c r="G211" i="2"/>
  <c r="F184" i="2"/>
  <c r="K202" i="2"/>
  <c r="I195" i="2"/>
  <c r="K208" i="2"/>
  <c r="N26" i="2"/>
  <c r="N34" i="2"/>
  <c r="O42" i="2"/>
  <c r="C157" i="2"/>
  <c r="O157" i="2"/>
  <c r="B200" i="2"/>
  <c r="B74" i="2"/>
  <c r="O193" i="2"/>
  <c r="N137" i="2"/>
  <c r="C208" i="2"/>
  <c r="N202" i="2"/>
  <c r="O204" i="2"/>
  <c r="E72" i="2"/>
  <c r="B87" i="2"/>
  <c r="C58" i="2"/>
  <c r="P71" i="2"/>
  <c r="D98" i="2"/>
  <c r="C126" i="2"/>
  <c r="E91" i="2"/>
  <c r="P151" i="2"/>
  <c r="P167" i="2"/>
  <c r="B91" i="2"/>
  <c r="N92" i="2"/>
  <c r="C111" i="2"/>
  <c r="D12" i="2"/>
  <c r="C170" i="2"/>
  <c r="B89" i="2"/>
  <c r="D173" i="2"/>
  <c r="O100" i="2"/>
  <c r="D156" i="2"/>
  <c r="D23" i="2"/>
  <c r="E39" i="2"/>
  <c r="P101" i="2"/>
  <c r="G1" i="2"/>
  <c r="P36" i="2"/>
  <c r="D212" i="2"/>
  <c r="C131" i="2"/>
  <c r="E88" i="2"/>
  <c r="O188" i="2"/>
  <c r="P112" i="2"/>
  <c r="O132" i="2"/>
  <c r="D210" i="2"/>
  <c r="C53" i="2"/>
  <c r="N88" i="2"/>
  <c r="H186" i="2"/>
  <c r="F212" i="2"/>
  <c r="F196" i="2"/>
  <c r="G209" i="2"/>
  <c r="J212" i="2"/>
  <c r="M198" i="2"/>
  <c r="L198" i="2"/>
  <c r="P34" i="2"/>
  <c r="P32" i="2"/>
  <c r="J187" i="2"/>
  <c r="K197" i="2"/>
  <c r="I199" i="2"/>
  <c r="K184" i="2"/>
  <c r="G199" i="2"/>
  <c r="L194" i="2"/>
  <c r="P44" i="2"/>
  <c r="G188" i="2"/>
  <c r="P28" i="2"/>
  <c r="L197" i="2"/>
  <c r="J207" i="2"/>
  <c r="N36" i="2"/>
  <c r="E37" i="2"/>
  <c r="I208" i="2"/>
  <c r="M186" i="2"/>
  <c r="L187" i="2"/>
  <c r="E29" i="2"/>
  <c r="P37" i="2"/>
  <c r="P35" i="2"/>
  <c r="K198" i="2"/>
  <c r="N20" i="2"/>
  <c r="P17" i="2"/>
  <c r="P20" i="2"/>
  <c r="O84" i="2"/>
  <c r="B55" i="2"/>
  <c r="D112" i="2"/>
  <c r="B211" i="2"/>
  <c r="E63" i="2"/>
  <c r="B132" i="2"/>
  <c r="P208" i="2"/>
  <c r="O210" i="2"/>
  <c r="G5" i="2"/>
  <c r="E3" i="2"/>
  <c r="P193" i="2"/>
  <c r="G10" i="2"/>
  <c r="E128" i="2"/>
  <c r="D39" i="2"/>
  <c r="D118" i="2"/>
  <c r="D44" i="2"/>
  <c r="C88" i="2"/>
  <c r="N127" i="2"/>
  <c r="E117" i="2"/>
  <c r="P100" i="2"/>
  <c r="B31" i="2"/>
  <c r="N51" i="2"/>
  <c r="B62" i="2"/>
  <c r="C159" i="2"/>
  <c r="M3" i="2"/>
  <c r="N181" i="2"/>
  <c r="E10" i="2"/>
  <c r="D162" i="2"/>
  <c r="B147" i="2"/>
  <c r="N211" i="2"/>
  <c r="B111" i="2"/>
  <c r="N141" i="2"/>
  <c r="N56" i="2"/>
  <c r="C11" i="2"/>
  <c r="K6" i="2"/>
  <c r="B120" i="2"/>
  <c r="N89" i="2"/>
  <c r="O92" i="2"/>
  <c r="B6" i="2"/>
  <c r="C110" i="2"/>
  <c r="P133" i="2"/>
  <c r="J199" i="2"/>
  <c r="E13" i="2"/>
  <c r="F198" i="2"/>
  <c r="K203" i="2"/>
  <c r="I211" i="2"/>
  <c r="A185" i="2"/>
  <c r="P13" i="2"/>
  <c r="A196" i="2"/>
  <c r="O11" i="2"/>
  <c r="K204" i="2"/>
  <c r="F182" i="2"/>
  <c r="O25" i="2"/>
  <c r="L186" i="2"/>
  <c r="I192" i="2"/>
  <c r="N31" i="2"/>
  <c r="J203" i="2"/>
  <c r="M206" i="2"/>
  <c r="L196" i="2"/>
  <c r="K183" i="2"/>
  <c r="K187" i="2"/>
  <c r="G204" i="2"/>
  <c r="L189" i="2"/>
  <c r="I183" i="2"/>
  <c r="K186" i="2"/>
  <c r="G186" i="2"/>
  <c r="H211" i="2"/>
  <c r="A184" i="2"/>
  <c r="E27" i="2"/>
  <c r="M184" i="2"/>
  <c r="P29" i="2"/>
  <c r="F207" i="2"/>
  <c r="L192" i="2"/>
  <c r="E24" i="2"/>
  <c r="A212" i="2"/>
  <c r="A201" i="2"/>
  <c r="F187" i="2"/>
  <c r="P33" i="2"/>
  <c r="N37" i="2"/>
  <c r="P42" i="2"/>
  <c r="C127" i="2"/>
  <c r="C80" i="2"/>
  <c r="O46" i="2"/>
  <c r="P155" i="2"/>
  <c r="B92" i="2"/>
  <c r="B134" i="2"/>
  <c r="P204" i="2"/>
  <c r="O187" i="2"/>
  <c r="P72" i="2"/>
  <c r="P61" i="2"/>
  <c r="E55" i="2"/>
  <c r="P93" i="2"/>
  <c r="B85" i="2"/>
  <c r="E1" i="2"/>
  <c r="B77" i="2"/>
  <c r="J4" i="2"/>
  <c r="P153" i="2"/>
  <c r="I10" i="2"/>
  <c r="H4" i="2"/>
  <c r="O112" i="2"/>
  <c r="D192" i="2"/>
  <c r="C123" i="2"/>
  <c r="N154" i="2"/>
  <c r="B155" i="2"/>
  <c r="B81" i="2"/>
  <c r="B109" i="2"/>
  <c r="E100" i="2"/>
  <c r="E167" i="2"/>
  <c r="D81" i="2"/>
  <c r="D143" i="2"/>
  <c r="P111" i="2"/>
  <c r="N199" i="2"/>
  <c r="B1" i="2"/>
  <c r="D5" i="2"/>
  <c r="F4" i="2"/>
  <c r="N123" i="2"/>
  <c r="O88" i="2"/>
  <c r="C207" i="2"/>
  <c r="P80" i="2"/>
  <c r="L7" i="2"/>
  <c r="P141" i="2"/>
  <c r="O40" i="2"/>
  <c r="L191" i="2"/>
  <c r="O36" i="2"/>
  <c r="A183" i="2"/>
  <c r="H203" i="2"/>
  <c r="L195" i="2"/>
  <c r="N44" i="2"/>
  <c r="J194" i="2"/>
  <c r="G201" i="2"/>
  <c r="N30" i="2"/>
  <c r="P41" i="2"/>
  <c r="G200" i="2"/>
  <c r="F208" i="2"/>
  <c r="I207" i="2"/>
  <c r="M192" i="2"/>
  <c r="J206" i="2"/>
  <c r="H204" i="2"/>
  <c r="L212" i="2"/>
  <c r="G197" i="2"/>
  <c r="M185" i="2"/>
  <c r="N11" i="2"/>
  <c r="P11" i="2"/>
  <c r="N42" i="2"/>
  <c r="N33" i="2"/>
  <c r="D161" i="2"/>
  <c r="N200" i="2"/>
  <c r="D134" i="2"/>
  <c r="E156" i="2"/>
  <c r="P205" i="2"/>
  <c r="O78" i="2"/>
  <c r="O58" i="2"/>
  <c r="B129" i="2"/>
  <c r="B152" i="2"/>
  <c r="E109" i="2"/>
  <c r="N121" i="2"/>
  <c r="E87" i="2"/>
  <c r="B116" i="2"/>
  <c r="B82" i="2"/>
  <c r="C10" i="2"/>
  <c r="N110" i="2"/>
  <c r="B212" i="2"/>
  <c r="P183" i="2"/>
  <c r="D140" i="2"/>
  <c r="D108" i="2"/>
  <c r="D198" i="2"/>
  <c r="B138" i="2"/>
  <c r="L1" i="2"/>
  <c r="N150" i="2"/>
  <c r="B166" i="2"/>
  <c r="O135" i="2"/>
  <c r="O196" i="2"/>
  <c r="P168" i="2"/>
  <c r="C26" i="2"/>
  <c r="N100" i="2"/>
  <c r="E130" i="2"/>
  <c r="P53" i="2"/>
  <c r="N65" i="2"/>
  <c r="E6" i="2"/>
  <c r="D91" i="2"/>
  <c r="H6" i="2"/>
  <c r="P91" i="2"/>
  <c r="P107" i="2"/>
  <c r="D154" i="2"/>
  <c r="P79" i="2"/>
  <c r="A210" i="2"/>
  <c r="M208" i="2"/>
  <c r="L199" i="2"/>
  <c r="F202" i="2"/>
  <c r="N17" i="2"/>
  <c r="A208" i="2"/>
  <c r="E19" i="2"/>
  <c r="H207" i="2"/>
  <c r="I201" i="2"/>
  <c r="G185" i="2"/>
  <c r="K185" i="2"/>
  <c r="P22" i="2"/>
  <c r="A193" i="2"/>
  <c r="F186" i="2"/>
  <c r="M197" i="2"/>
  <c r="J204" i="2"/>
  <c r="I198" i="2"/>
  <c r="M196" i="2"/>
  <c r="H183" i="2"/>
  <c r="M204" i="2"/>
  <c r="A192" i="2"/>
  <c r="L209" i="2"/>
  <c r="L188" i="2"/>
  <c r="K194" i="2"/>
  <c r="I197" i="2"/>
  <c r="G210" i="2"/>
  <c r="K209" i="2"/>
  <c r="I187" i="2"/>
  <c r="E15" i="2"/>
  <c r="A197" i="2"/>
  <c r="I190" i="2"/>
  <c r="O31" i="2"/>
  <c r="O14" i="2"/>
  <c r="P30" i="2"/>
  <c r="N16" i="2"/>
  <c r="P23" i="2"/>
  <c r="L6" i="2"/>
  <c r="N164" i="2"/>
  <c r="C192" i="2"/>
  <c r="O2" i="2"/>
  <c r="B84" i="2"/>
  <c r="D196" i="2"/>
  <c r="P77" i="2"/>
  <c r="P118" i="2"/>
  <c r="D48" i="2"/>
  <c r="E123" i="2"/>
  <c r="O161" i="2"/>
  <c r="N85" i="2"/>
  <c r="P180" i="2"/>
  <c r="N53" i="2"/>
  <c r="B178" i="2"/>
  <c r="I1" i="2"/>
  <c r="O203" i="2"/>
  <c r="D25" i="2"/>
  <c r="B193" i="2"/>
  <c r="P108" i="2"/>
  <c r="C118" i="2"/>
  <c r="E80" i="2"/>
  <c r="D34" i="2"/>
  <c r="B167" i="2"/>
  <c r="D72" i="2"/>
  <c r="N46" i="2"/>
  <c r="C137" i="2"/>
  <c r="C198" i="2"/>
  <c r="D47" i="2"/>
  <c r="C201" i="2"/>
  <c r="B114" i="2"/>
  <c r="D127" i="2"/>
  <c r="N182" i="2"/>
  <c r="P56" i="2"/>
  <c r="A5" i="2"/>
  <c r="N161" i="2"/>
  <c r="N158" i="2"/>
  <c r="P52" i="2"/>
  <c r="C140" i="2"/>
  <c r="N173" i="2"/>
  <c r="D193" i="2"/>
  <c r="E81" i="2"/>
  <c r="B53" i="2"/>
  <c r="A194" i="2"/>
  <c r="K190" i="2"/>
  <c r="F189" i="2"/>
  <c r="H185" i="2"/>
  <c r="K188" i="2"/>
  <c r="G208" i="2"/>
  <c r="J211" i="2"/>
  <c r="K201" i="2"/>
  <c r="G207" i="2"/>
  <c r="A205" i="2"/>
  <c r="H206" i="2"/>
  <c r="L185" i="2"/>
  <c r="M193" i="2"/>
  <c r="J202" i="2"/>
  <c r="J200" i="2"/>
  <c r="O18" i="2"/>
  <c r="A206" i="2"/>
  <c r="F210" i="2"/>
  <c r="J190" i="2"/>
  <c r="M210" i="2"/>
  <c r="G187" i="2"/>
  <c r="O13" i="2"/>
  <c r="N21" i="2"/>
  <c r="B205" i="2"/>
  <c r="N63" i="2"/>
  <c r="P186" i="2"/>
  <c r="E186" i="2"/>
  <c r="C165" i="2"/>
  <c r="O4" i="2"/>
  <c r="N159" i="2"/>
  <c r="P142" i="2"/>
  <c r="C75" i="2"/>
  <c r="N95" i="2"/>
  <c r="H2" i="2"/>
  <c r="B197" i="2"/>
  <c r="P184" i="2"/>
  <c r="B122" i="2"/>
  <c r="D67" i="2"/>
  <c r="P150" i="2"/>
  <c r="P147" i="2"/>
  <c r="B153" i="2"/>
  <c r="P66" i="2"/>
  <c r="O116" i="2"/>
  <c r="C19" i="2"/>
  <c r="H7" i="2"/>
  <c r="A191" i="2"/>
  <c r="F209" i="2"/>
  <c r="F185" i="2"/>
  <c r="E22" i="2"/>
  <c r="H187" i="2"/>
  <c r="L184" i="2"/>
  <c r="G193" i="2"/>
  <c r="I194" i="2"/>
  <c r="H212" i="2"/>
  <c r="N32" i="2"/>
  <c r="L207" i="2"/>
  <c r="P38" i="2"/>
  <c r="K193" i="2"/>
  <c r="J184" i="2"/>
  <c r="F183" i="2"/>
  <c r="E23" i="2"/>
  <c r="F211" i="2"/>
  <c r="F200" i="2"/>
  <c r="E16" i="2"/>
  <c r="E40" i="2"/>
  <c r="P25" i="2"/>
  <c r="P16" i="2"/>
  <c r="N25" i="2"/>
  <c r="O27" i="2"/>
  <c r="H11" i="2"/>
  <c r="K1" i="2"/>
  <c r="B158" i="2"/>
  <c r="O166" i="2"/>
  <c r="A204" i="2"/>
  <c r="L200" i="2"/>
  <c r="M191" i="2"/>
  <c r="N71" i="2"/>
  <c r="D63" i="2"/>
  <c r="C130" i="2"/>
  <c r="B20" i="2"/>
  <c r="O189" i="2"/>
  <c r="O153" i="2"/>
  <c r="O34" i="2"/>
  <c r="G3" i="2"/>
  <c r="D117" i="2"/>
  <c r="B168" i="2"/>
  <c r="E47" i="2"/>
  <c r="F9" i="2"/>
  <c r="O174" i="2"/>
  <c r="C82" i="2"/>
  <c r="N10" i="2"/>
  <c r="N212" i="2"/>
  <c r="C6" i="2"/>
  <c r="E84" i="2"/>
  <c r="B61" i="2"/>
  <c r="O200" i="2"/>
  <c r="B119" i="2"/>
  <c r="N183" i="2"/>
  <c r="J205" i="2"/>
  <c r="F192" i="2"/>
  <c r="P27" i="2"/>
  <c r="P39" i="2"/>
  <c r="K196" i="2"/>
  <c r="H193" i="2"/>
  <c r="J192" i="2"/>
  <c r="I191" i="2"/>
  <c r="K195" i="2"/>
  <c r="G203" i="2"/>
  <c r="N28" i="2"/>
  <c r="H196" i="2"/>
  <c r="L210" i="2"/>
  <c r="L208" i="2"/>
  <c r="N40" i="2"/>
  <c r="N13" i="2"/>
  <c r="F11" i="2"/>
  <c r="P1" i="2"/>
  <c r="P75" i="2"/>
  <c r="E78" i="2"/>
  <c r="C90" i="2"/>
  <c r="E152" i="2"/>
  <c r="E65" i="2"/>
  <c r="D147" i="2"/>
  <c r="I2" i="2"/>
  <c r="D96" i="2"/>
  <c r="P161" i="2"/>
  <c r="D116" i="2"/>
  <c r="B98" i="2"/>
  <c r="E8" i="2"/>
  <c r="P130" i="2"/>
  <c r="E178" i="2"/>
  <c r="O141" i="2"/>
  <c r="O38" i="2"/>
  <c r="E116" i="2"/>
  <c r="P31" i="2"/>
  <c r="O33" i="2"/>
  <c r="J195" i="2"/>
  <c r="H198" i="2"/>
  <c r="J196" i="2"/>
  <c r="E2" i="2"/>
  <c r="N124" i="2"/>
  <c r="B110" i="2"/>
  <c r="C122" i="2"/>
  <c r="P10" i="2"/>
  <c r="O107" i="2"/>
  <c r="C40" i="2"/>
  <c r="M2" i="2"/>
  <c r="D60" i="2"/>
  <c r="C24" i="2"/>
  <c r="B27" i="2"/>
  <c r="C146" i="2"/>
  <c r="O151" i="2"/>
  <c r="D188" i="2"/>
  <c r="B90" i="2"/>
  <c r="D74" i="2"/>
  <c r="N135" i="2"/>
  <c r="E148" i="2"/>
  <c r="N145" i="2"/>
  <c r="D92" i="2"/>
  <c r="J10" i="2"/>
  <c r="N58" i="2"/>
  <c r="E45" i="2"/>
  <c r="A199" i="2"/>
  <c r="F199" i="2"/>
  <c r="P46" i="2"/>
  <c r="J193" i="2"/>
  <c r="M207" i="2"/>
  <c r="H210" i="2"/>
  <c r="I188" i="2"/>
  <c r="F205" i="2"/>
  <c r="H197" i="2"/>
  <c r="K199" i="2"/>
  <c r="A190" i="2"/>
  <c r="H199" i="2"/>
  <c r="K207" i="2"/>
  <c r="M200" i="2"/>
  <c r="N22" i="2"/>
  <c r="O24" i="2"/>
  <c r="M11" i="2"/>
  <c r="E159" i="2"/>
  <c r="E51" i="2"/>
  <c r="P198" i="2"/>
  <c r="O207" i="2"/>
  <c r="H5" i="2"/>
  <c r="O54" i="2"/>
  <c r="O130" i="2"/>
  <c r="D7" i="2"/>
  <c r="N49" i="2"/>
  <c r="D136" i="2"/>
  <c r="D64" i="2"/>
  <c r="E102" i="2"/>
  <c r="E145" i="2"/>
  <c r="D26" i="2"/>
  <c r="B124" i="2"/>
  <c r="N174" i="2"/>
  <c r="C21" i="2"/>
  <c r="B76" i="2"/>
  <c r="B209" i="2"/>
  <c r="D186" i="2"/>
  <c r="C74" i="2"/>
  <c r="P196" i="2"/>
  <c r="D28" i="2"/>
  <c r="D130" i="2"/>
  <c r="D202" i="2"/>
  <c r="N4" i="2"/>
  <c r="O35" i="2"/>
  <c r="J5" i="2"/>
  <c r="D131" i="2"/>
  <c r="E147" i="2"/>
  <c r="E111" i="2"/>
  <c r="O37" i="2"/>
  <c r="G192" i="2"/>
  <c r="K205" i="2"/>
  <c r="G190" i="2"/>
  <c r="M190" i="2"/>
  <c r="A182" i="2"/>
  <c r="J210" i="2"/>
  <c r="E14" i="2"/>
  <c r="A189" i="2"/>
  <c r="M201" i="2"/>
  <c r="E42" i="2"/>
  <c r="G196" i="2"/>
  <c r="M194" i="2"/>
  <c r="L201" i="2"/>
  <c r="L202" i="2"/>
  <c r="E36" i="2"/>
  <c r="N43" i="2"/>
  <c r="O26" i="2"/>
  <c r="O15" i="2"/>
  <c r="L11" i="2"/>
  <c r="D82" i="2"/>
  <c r="N187" i="2"/>
  <c r="C136" i="2"/>
  <c r="C16" i="2"/>
  <c r="O212" i="2"/>
  <c r="D182" i="2"/>
  <c r="N143" i="2"/>
  <c r="D157" i="2"/>
  <c r="F10" i="2"/>
  <c r="B183" i="2"/>
  <c r="P54" i="2"/>
  <c r="B66" i="2"/>
  <c r="E176" i="2"/>
  <c r="D122" i="2"/>
  <c r="D148" i="2"/>
  <c r="P152" i="2"/>
  <c r="E104" i="2"/>
  <c r="C119" i="2"/>
  <c r="E175" i="2"/>
  <c r="P169" i="2"/>
  <c r="O173" i="2"/>
  <c r="I4" i="2"/>
  <c r="G189" i="2"/>
  <c r="E20" i="2"/>
  <c r="I205" i="2"/>
  <c r="H202" i="2"/>
  <c r="H200" i="2"/>
  <c r="E46" i="2"/>
  <c r="C73" i="2"/>
  <c r="N210" i="2"/>
  <c r="O137" i="2"/>
  <c r="K5" i="2"/>
  <c r="D203" i="2"/>
  <c r="N167" i="2"/>
  <c r="N195" i="2"/>
  <c r="O134" i="2"/>
  <c r="F188" i="2"/>
  <c r="O29" i="2"/>
  <c r="L211" i="2"/>
  <c r="I193" i="2"/>
  <c r="M211" i="2"/>
  <c r="O23" i="2"/>
  <c r="K192" i="2"/>
  <c r="N38" i="2"/>
  <c r="C180" i="2"/>
  <c r="K200" i="2"/>
  <c r="O28" i="2"/>
  <c r="P14" i="2"/>
  <c r="A188" i="2"/>
  <c r="O20" i="2"/>
  <c r="O122" i="2"/>
  <c r="D58" i="2"/>
  <c r="F206" i="2"/>
  <c r="E21" i="2"/>
  <c r="C168" i="2"/>
  <c r="K189" i="2"/>
  <c r="O22" i="2"/>
  <c r="O39" i="2"/>
  <c r="L204" i="2"/>
  <c r="H195" i="2"/>
  <c r="P136" i="2"/>
  <c r="B51" i="2"/>
  <c r="N156" i="2"/>
  <c r="K2" i="2"/>
  <c r="M202" i="2"/>
  <c r="H190" i="2"/>
  <c r="L193" i="2"/>
  <c r="C84" i="2"/>
  <c r="A211" i="2"/>
  <c r="A203" i="2"/>
  <c r="L183" i="2"/>
  <c r="C13" i="2"/>
  <c r="C1" i="2"/>
  <c r="D172" i="2"/>
  <c r="E114" i="2"/>
  <c r="B146" i="2"/>
  <c r="B103" i="2"/>
  <c r="O160" i="2"/>
  <c r="E59" i="2"/>
  <c r="I185" i="2"/>
  <c r="E41" i="2"/>
  <c r="M195" i="2"/>
  <c r="A207" i="2"/>
  <c r="J201" i="2"/>
  <c r="A187" i="2"/>
  <c r="H188" i="2"/>
  <c r="I189" i="2"/>
  <c r="I203" i="2"/>
  <c r="M203" i="2"/>
  <c r="O16" i="2"/>
  <c r="N23" i="2"/>
  <c r="N27" i="2"/>
  <c r="P105" i="2"/>
  <c r="D167" i="2"/>
  <c r="N104" i="2"/>
  <c r="L9" i="2"/>
  <c r="C14" i="2"/>
  <c r="O8" i="2"/>
  <c r="J198" i="2"/>
  <c r="M189" i="2"/>
  <c r="J183" i="2"/>
  <c r="N15" i="2"/>
  <c r="G202" i="2"/>
  <c r="P78" i="2"/>
  <c r="H201" i="2"/>
  <c r="J189" i="2"/>
  <c r="D169" i="2"/>
  <c r="F190" i="2"/>
  <c r="N192" i="2"/>
  <c r="N18" i="2"/>
  <c r="C89" i="2"/>
  <c r="P76" i="2"/>
  <c r="P83" i="2"/>
  <c r="N84" i="2"/>
  <c r="N198" i="2"/>
  <c r="D6" i="2"/>
  <c r="K3" i="2"/>
  <c r="B143" i="2"/>
  <c r="C181" i="2"/>
  <c r="A202" i="2"/>
  <c r="N29" i="2"/>
  <c r="J185" i="2"/>
  <c r="E17" i="2"/>
  <c r="M212" i="2"/>
  <c r="P185" i="2"/>
  <c r="J186" i="2"/>
  <c r="F197" i="2"/>
  <c r="L205" i="2"/>
  <c r="G11" i="2"/>
  <c r="D29" i="2"/>
  <c r="C173" i="2"/>
  <c r="J6" i="2"/>
  <c r="D16" i="2"/>
  <c r="D75" i="2"/>
  <c r="A198" i="2"/>
  <c r="G198" i="2"/>
  <c r="F194" i="2"/>
  <c r="E30" i="2"/>
  <c r="L203" i="2"/>
  <c r="F203" i="2"/>
  <c r="H205" i="2"/>
  <c r="N19" i="2"/>
  <c r="E70" i="2"/>
  <c r="B70" i="2"/>
  <c r="B60" i="2"/>
  <c r="C81" i="2"/>
  <c r="P24" i="2"/>
  <c r="H192" i="2"/>
  <c r="O41" i="2"/>
  <c r="P145" i="2"/>
  <c r="P160" i="2"/>
  <c r="O32" i="2"/>
  <c r="K191" i="2"/>
  <c r="E141" i="2"/>
  <c r="E211" i="2"/>
  <c r="A209" i="2"/>
  <c r="D184" i="2"/>
  <c r="N152" i="2"/>
  <c r="C87" i="2"/>
  <c r="B67" i="2"/>
  <c r="E25" i="2"/>
  <c r="P190" i="2"/>
  <c r="B113" i="2"/>
  <c r="B3" i="2"/>
  <c r="M183" i="2"/>
  <c r="N39" i="2"/>
  <c r="H189" i="2"/>
  <c r="A195" i="2"/>
  <c r="N45" i="2"/>
  <c r="I196" i="2"/>
  <c r="G205" i="2"/>
  <c r="P26" i="2"/>
  <c r="O30" i="2"/>
  <c r="B131" i="2"/>
  <c r="B104" i="2"/>
  <c r="K11" i="2"/>
  <c r="C4" i="2"/>
  <c r="G195" i="2"/>
  <c r="B112" i="2"/>
  <c r="K210" i="2"/>
  <c r="I200" i="2"/>
  <c r="B23" i="2"/>
  <c r="D105" i="2"/>
  <c r="B50" i="2"/>
  <c r="G183" i="2"/>
  <c r="I202" i="2"/>
  <c r="A186" i="2"/>
  <c r="P15" i="2"/>
  <c r="C144" i="2"/>
  <c r="P69" i="2"/>
  <c r="N191" i="2"/>
  <c r="B78" i="2"/>
  <c r="N79" i="2"/>
  <c r="D106" i="2"/>
  <c r="E171" i="2"/>
  <c r="O142" i="2"/>
  <c r="A181" i="2"/>
  <c r="F195" i="2"/>
  <c r="I210" i="2"/>
  <c r="E31" i="2"/>
  <c r="M205" i="2"/>
  <c r="I204" i="2"/>
  <c r="H191" i="2"/>
  <c r="I206" i="2"/>
  <c r="H208" i="2"/>
  <c r="E33" i="2"/>
  <c r="M187" i="2"/>
  <c r="N41" i="2"/>
  <c r="N14" i="2"/>
  <c r="D19" i="2"/>
  <c r="P50" i="2"/>
  <c r="B149" i="2"/>
  <c r="D57" i="2"/>
  <c r="C196" i="2"/>
  <c r="N81" i="2"/>
  <c r="B73" i="2"/>
  <c r="E193" i="2"/>
  <c r="D68" i="2"/>
  <c r="P178" i="2"/>
  <c r="P109" i="2"/>
  <c r="I212" i="2"/>
  <c r="P19" i="2"/>
  <c r="M188" i="2"/>
  <c r="F201" i="2"/>
  <c r="F193" i="2"/>
  <c r="H184" i="2"/>
  <c r="O17" i="2"/>
  <c r="J11" i="2"/>
  <c r="O91" i="2"/>
  <c r="B189" i="2"/>
  <c r="E62" i="2"/>
  <c r="E149" i="2"/>
  <c r="O77" i="2"/>
  <c r="N75" i="2"/>
  <c r="N203" i="2"/>
  <c r="O128" i="2"/>
  <c r="F204" i="2"/>
  <c r="L190" i="2"/>
  <c r="I184" i="2"/>
  <c r="M199" i="2"/>
  <c r="M209" i="2"/>
  <c r="A200" i="2"/>
  <c r="E26" i="2"/>
  <c r="I11" i="2"/>
  <c r="B156" i="2"/>
  <c r="B171" i="2"/>
  <c r="G194" i="2"/>
  <c r="C36" i="2"/>
  <c r="J197" i="2"/>
  <c r="E28" i="2"/>
  <c r="U1" i="2" l="1"/>
  <c r="V4" i="2"/>
  <c r="U6" i="2"/>
  <c r="U4" i="2"/>
  <c r="U10" i="2"/>
  <c r="U7" i="2"/>
  <c r="V7" i="2"/>
  <c r="U2" i="2"/>
  <c r="V6" i="2"/>
  <c r="V9" i="2"/>
  <c r="V10" i="2"/>
  <c r="V8" i="2"/>
  <c r="V2" i="2"/>
  <c r="U8" i="2"/>
  <c r="V5" i="2"/>
  <c r="U3" i="2"/>
  <c r="V1" i="2"/>
  <c r="U5" i="2"/>
  <c r="V3" i="2"/>
  <c r="U9" i="2"/>
  <c r="U11" i="2"/>
  <c r="V11" i="2"/>
  <c r="U1" i="2" l="1" a="1"/>
  <c r="A12" i="1"/>
  <c r="A12" i="2" s="1"/>
  <c r="E12" i="2"/>
  <c r="B12" i="2"/>
  <c r="V12" i="2" l="1"/>
  <c r="U12" i="2"/>
  <c r="P12" i="2"/>
  <c r="O12" i="2"/>
  <c r="N12" i="2"/>
  <c r="A13" i="1"/>
  <c r="J12" i="2" l="1"/>
  <c r="K12" i="2"/>
  <c r="V13" i="2"/>
  <c r="U13" i="2"/>
  <c r="A13" i="2"/>
  <c r="A14" i="1"/>
  <c r="F12" i="2"/>
  <c r="H12" i="2"/>
  <c r="I12" i="2"/>
  <c r="M12" i="2"/>
  <c r="J13" i="2" l="1"/>
  <c r="V14" i="2"/>
  <c r="K13" i="2"/>
  <c r="H13" i="2"/>
  <c r="I13" i="2"/>
  <c r="A14" i="2"/>
  <c r="A15" i="1"/>
  <c r="F13" i="2"/>
  <c r="K14" i="2"/>
  <c r="J14" i="2"/>
  <c r="M13" i="2"/>
  <c r="L12" i="2"/>
  <c r="G12" i="2"/>
  <c r="V16" i="1" l="1"/>
  <c r="U14" i="2"/>
  <c r="A16" i="1"/>
  <c r="A15" i="2"/>
  <c r="F14" i="2"/>
  <c r="K15" i="2"/>
  <c r="J15" i="2"/>
  <c r="U15" i="2"/>
  <c r="G13" i="2"/>
  <c r="L13" i="2"/>
  <c r="U16" i="1"/>
  <c r="M14" i="2"/>
  <c r="I14" i="2"/>
  <c r="H14" i="2"/>
  <c r="V15" i="2" l="1"/>
  <c r="A17" i="1"/>
  <c r="A16" i="2"/>
  <c r="F15" i="2"/>
  <c r="F16" i="1"/>
  <c r="U17" i="1"/>
  <c r="H16" i="1"/>
  <c r="I16" i="1"/>
  <c r="K16" i="1"/>
  <c r="K16" i="2" s="1"/>
  <c r="J16" i="1"/>
  <c r="J16" i="2" s="1"/>
  <c r="U16" i="2"/>
  <c r="H15" i="2"/>
  <c r="M15" i="2"/>
  <c r="I15" i="2"/>
  <c r="G14" i="2"/>
  <c r="L14" i="2"/>
  <c r="W16" i="1"/>
  <c r="V17" i="1"/>
  <c r="V16" i="2"/>
  <c r="F16" i="2" l="1"/>
  <c r="F17" i="1"/>
  <c r="U18" i="1"/>
  <c r="H17" i="1"/>
  <c r="I17" i="1"/>
  <c r="J17" i="1"/>
  <c r="J17" i="2" s="1"/>
  <c r="K17" i="1"/>
  <c r="K17" i="2" s="1"/>
  <c r="A18" i="1"/>
  <c r="A17" i="2"/>
  <c r="U17" i="2"/>
  <c r="M16" i="1"/>
  <c r="M16" i="2" s="1"/>
  <c r="I16" i="2"/>
  <c r="L16" i="1"/>
  <c r="H16" i="2"/>
  <c r="G15" i="2"/>
  <c r="L15" i="2"/>
  <c r="W17" i="1"/>
  <c r="V18" i="1"/>
  <c r="V17" i="2"/>
  <c r="K18" i="1" l="1"/>
  <c r="K18" i="2" s="1"/>
  <c r="J18" i="1"/>
  <c r="J18" i="2" s="1"/>
  <c r="U19" i="1"/>
  <c r="U20" i="1" s="1"/>
  <c r="H18" i="1"/>
  <c r="I18" i="1"/>
  <c r="A18" i="2"/>
  <c r="A19" i="1"/>
  <c r="F17" i="2"/>
  <c r="F18" i="1"/>
  <c r="U18" i="2"/>
  <c r="M17" i="1"/>
  <c r="M17" i="2" s="1"/>
  <c r="I17" i="2"/>
  <c r="L17" i="1"/>
  <c r="H17" i="2"/>
  <c r="G16" i="1"/>
  <c r="G16" i="2" s="1"/>
  <c r="L16" i="2"/>
  <c r="W18" i="1"/>
  <c r="V19" i="1"/>
  <c r="V18" i="2"/>
  <c r="U19" i="2" l="1"/>
  <c r="J19" i="1"/>
  <c r="J19" i="2" s="1"/>
  <c r="K19" i="1"/>
  <c r="K19" i="2" s="1"/>
  <c r="I19" i="1"/>
  <c r="H19" i="1"/>
  <c r="I20" i="1"/>
  <c r="H20" i="1"/>
  <c r="A20" i="1"/>
  <c r="A19" i="2"/>
  <c r="F19" i="1"/>
  <c r="F18" i="2"/>
  <c r="M18" i="1"/>
  <c r="M18" i="2" s="1"/>
  <c r="I18" i="2"/>
  <c r="L18" i="1"/>
  <c r="H18" i="2"/>
  <c r="G17" i="1"/>
  <c r="G17" i="2" s="1"/>
  <c r="L17" i="2"/>
  <c r="V19" i="2"/>
  <c r="W19" i="1"/>
  <c r="V20" i="1"/>
  <c r="U20" i="2"/>
  <c r="U21" i="1"/>
  <c r="G18" i="1" l="1"/>
  <c r="G18" i="2" s="1"/>
  <c r="L18" i="2"/>
  <c r="I21" i="1"/>
  <c r="H21" i="1"/>
  <c r="M19" i="1"/>
  <c r="M19" i="2" s="1"/>
  <c r="I19" i="2"/>
  <c r="K20" i="1"/>
  <c r="K20" i="2" s="1"/>
  <c r="J20" i="1"/>
  <c r="J20" i="2" s="1"/>
  <c r="F20" i="1"/>
  <c r="F19" i="2"/>
  <c r="A21" i="1"/>
  <c r="A20" i="2"/>
  <c r="H20" i="2"/>
  <c r="I20" i="2"/>
  <c r="L19" i="1"/>
  <c r="H19" i="2"/>
  <c r="V20" i="2"/>
  <c r="V21" i="1"/>
  <c r="W20" i="1"/>
  <c r="M20" i="1" s="1"/>
  <c r="M20" i="2" s="1"/>
  <c r="U21" i="2"/>
  <c r="U22" i="1"/>
  <c r="L20" i="1" l="1"/>
  <c r="G20" i="1" s="1"/>
  <c r="G20" i="2" s="1"/>
  <c r="A22" i="1"/>
  <c r="A21" i="2"/>
  <c r="H22" i="1"/>
  <c r="I22" i="1"/>
  <c r="J21" i="1"/>
  <c r="J21" i="2" s="1"/>
  <c r="K21" i="1"/>
  <c r="K21" i="2" s="1"/>
  <c r="G19" i="1"/>
  <c r="G19" i="2" s="1"/>
  <c r="L19" i="2"/>
  <c r="F21" i="1"/>
  <c r="F20" i="2"/>
  <c r="H21" i="2"/>
  <c r="I21" i="2"/>
  <c r="U22" i="2"/>
  <c r="U23" i="1"/>
  <c r="V21" i="2"/>
  <c r="W21" i="1"/>
  <c r="M21" i="1" s="1"/>
  <c r="M21" i="2" s="1"/>
  <c r="V22" i="1"/>
  <c r="L20" i="2" l="1"/>
  <c r="L21" i="1"/>
  <c r="G21" i="1" s="1"/>
  <c r="G21" i="2" s="1"/>
  <c r="K22" i="1"/>
  <c r="K22" i="2" s="1"/>
  <c r="J22" i="1"/>
  <c r="J22" i="2" s="1"/>
  <c r="I23" i="1"/>
  <c r="H23" i="1"/>
  <c r="F22" i="1"/>
  <c r="F21" i="2"/>
  <c r="I22" i="2"/>
  <c r="L22" i="1"/>
  <c r="H22" i="2"/>
  <c r="A23" i="1"/>
  <c r="A22" i="2"/>
  <c r="V22" i="2"/>
  <c r="W22" i="1"/>
  <c r="M22" i="1" s="1"/>
  <c r="M22" i="2" s="1"/>
  <c r="V23" i="1"/>
  <c r="U23" i="2"/>
  <c r="U24" i="1"/>
  <c r="L21" i="2" l="1"/>
  <c r="A24" i="1"/>
  <c r="A23" i="2"/>
  <c r="J23" i="1"/>
  <c r="J23" i="2" s="1"/>
  <c r="K23" i="1"/>
  <c r="K23" i="2" s="1"/>
  <c r="G22" i="1"/>
  <c r="G22" i="2" s="1"/>
  <c r="L22" i="2"/>
  <c r="H24" i="1"/>
  <c r="I24" i="1"/>
  <c r="F23" i="1"/>
  <c r="F22" i="2"/>
  <c r="L23" i="1"/>
  <c r="H23" i="2"/>
  <c r="I23" i="2"/>
  <c r="V23" i="2"/>
  <c r="V24" i="1"/>
  <c r="W23" i="1"/>
  <c r="M23" i="1" s="1"/>
  <c r="M23" i="2" s="1"/>
  <c r="U24" i="2"/>
  <c r="U25" i="1"/>
  <c r="J24" i="1" l="1"/>
  <c r="J24" i="2" s="1"/>
  <c r="K24" i="1"/>
  <c r="K24" i="2" s="1"/>
  <c r="I25" i="1"/>
  <c r="H25" i="1"/>
  <c r="F24" i="1"/>
  <c r="F23" i="2"/>
  <c r="G23" i="1"/>
  <c r="G23" i="2" s="1"/>
  <c r="L23" i="2"/>
  <c r="I24" i="2"/>
  <c r="H24" i="2"/>
  <c r="A25" i="1"/>
  <c r="A24" i="2"/>
  <c r="U25" i="2"/>
  <c r="U26" i="1"/>
  <c r="V24" i="2"/>
  <c r="V25" i="1"/>
  <c r="W24" i="1"/>
  <c r="M24" i="1" l="1"/>
  <c r="M24" i="2" s="1"/>
  <c r="L24" i="1"/>
  <c r="J25" i="1"/>
  <c r="J25" i="2" s="1"/>
  <c r="K25" i="1"/>
  <c r="K25" i="2" s="1"/>
  <c r="H26" i="1"/>
  <c r="I26" i="1"/>
  <c r="A26" i="1"/>
  <c r="A25" i="2"/>
  <c r="F25" i="1"/>
  <c r="F24" i="2"/>
  <c r="H25" i="2"/>
  <c r="I25" i="2"/>
  <c r="V25" i="2"/>
  <c r="W25" i="1"/>
  <c r="M25" i="1" s="1"/>
  <c r="M25" i="2" s="1"/>
  <c r="V26" i="1"/>
  <c r="U27" i="1"/>
  <c r="U26" i="2"/>
  <c r="G24" i="1" l="1"/>
  <c r="G24" i="2" s="1"/>
  <c r="L25" i="1"/>
  <c r="L25" i="2" s="1"/>
  <c r="L24" i="2"/>
  <c r="I27" i="1"/>
  <c r="H27" i="1"/>
  <c r="G25" i="1"/>
  <c r="G25" i="2" s="1"/>
  <c r="F26" i="1"/>
  <c r="F25" i="2"/>
  <c r="A27" i="1"/>
  <c r="A26" i="2"/>
  <c r="I26" i="2"/>
  <c r="H26" i="2"/>
  <c r="K26" i="1"/>
  <c r="K26" i="2" s="1"/>
  <c r="J26" i="1"/>
  <c r="J26" i="2" s="1"/>
  <c r="W26" i="1"/>
  <c r="V27" i="1"/>
  <c r="V26" i="2"/>
  <c r="U28" i="1"/>
  <c r="U27" i="2"/>
  <c r="M26" i="1" l="1"/>
  <c r="M26" i="2" s="1"/>
  <c r="K27" i="1"/>
  <c r="K27" i="2" s="1"/>
  <c r="J27" i="1"/>
  <c r="J27" i="2" s="1"/>
  <c r="L26" i="1"/>
  <c r="F27" i="1"/>
  <c r="F26" i="2"/>
  <c r="H28" i="1"/>
  <c r="I28" i="1"/>
  <c r="A28" i="1"/>
  <c r="A27" i="2"/>
  <c r="L27" i="1"/>
  <c r="H27" i="2"/>
  <c r="I27" i="2"/>
  <c r="U29" i="1"/>
  <c r="U28" i="2"/>
  <c r="W27" i="1"/>
  <c r="M27" i="1" s="1"/>
  <c r="M27" i="2" s="1"/>
  <c r="V28" i="1"/>
  <c r="V27" i="2"/>
  <c r="K28" i="1" l="1"/>
  <c r="K28" i="2" s="1"/>
  <c r="J28" i="1"/>
  <c r="J28" i="2" s="1"/>
  <c r="I28" i="2"/>
  <c r="G26" i="1"/>
  <c r="G26" i="2" s="1"/>
  <c r="L26" i="2"/>
  <c r="I29" i="1"/>
  <c r="H29" i="1"/>
  <c r="G27" i="1"/>
  <c r="G27" i="2" s="1"/>
  <c r="L27" i="2"/>
  <c r="A29" i="1"/>
  <c r="A28" i="2"/>
  <c r="L28" i="1"/>
  <c r="H28" i="2"/>
  <c r="F28" i="1"/>
  <c r="F27" i="2"/>
  <c r="V28" i="2"/>
  <c r="W28" i="1"/>
  <c r="V29" i="1"/>
  <c r="U29" i="2"/>
  <c r="U30" i="1"/>
  <c r="M28" i="1" l="1"/>
  <c r="M28" i="2" s="1"/>
  <c r="I30" i="1"/>
  <c r="H30" i="1"/>
  <c r="A30" i="1"/>
  <c r="A29" i="2"/>
  <c r="H29" i="2"/>
  <c r="I29" i="2"/>
  <c r="K29" i="1"/>
  <c r="K29" i="2" s="1"/>
  <c r="J29" i="1"/>
  <c r="J29" i="2" s="1"/>
  <c r="F29" i="1"/>
  <c r="F28" i="2"/>
  <c r="L28" i="2"/>
  <c r="V29" i="2"/>
  <c r="W29" i="1"/>
  <c r="M29" i="1" s="1"/>
  <c r="M29" i="2" s="1"/>
  <c r="V30" i="1"/>
  <c r="U30" i="2"/>
  <c r="U31" i="1"/>
  <c r="G28" i="1" l="1"/>
  <c r="G28" i="2" s="1"/>
  <c r="K30" i="1"/>
  <c r="K30" i="2" s="1"/>
  <c r="J30" i="1"/>
  <c r="J30" i="2" s="1"/>
  <c r="L29" i="1"/>
  <c r="A31" i="1"/>
  <c r="A30" i="2"/>
  <c r="H30" i="2"/>
  <c r="H31" i="1"/>
  <c r="I31" i="1"/>
  <c r="F30" i="1"/>
  <c r="F29" i="2"/>
  <c r="I30" i="2"/>
  <c r="V31" i="1"/>
  <c r="V30" i="2"/>
  <c r="W30" i="1"/>
  <c r="M30" i="1" s="1"/>
  <c r="M30" i="2" s="1"/>
  <c r="U32" i="1"/>
  <c r="U31" i="2"/>
  <c r="L30" i="1" l="1"/>
  <c r="L30" i="2" s="1"/>
  <c r="H31" i="2"/>
  <c r="G29" i="1"/>
  <c r="G29" i="2" s="1"/>
  <c r="L29" i="2"/>
  <c r="K31" i="1"/>
  <c r="K31" i="2" s="1"/>
  <c r="J31" i="1"/>
  <c r="J31" i="2" s="1"/>
  <c r="F31" i="1"/>
  <c r="F30" i="2"/>
  <c r="A32" i="1"/>
  <c r="A31" i="2"/>
  <c r="I32" i="1"/>
  <c r="H32" i="1"/>
  <c r="I31" i="2"/>
  <c r="U33" i="1"/>
  <c r="U32" i="2"/>
  <c r="V32" i="1"/>
  <c r="W31" i="1"/>
  <c r="M31" i="1" s="1"/>
  <c r="M31" i="2" s="1"/>
  <c r="V31" i="2"/>
  <c r="G30" i="1" l="1"/>
  <c r="G30" i="2" s="1"/>
  <c r="J32" i="1"/>
  <c r="J32" i="2" s="1"/>
  <c r="K32" i="1"/>
  <c r="K32" i="2" s="1"/>
  <c r="I33" i="1"/>
  <c r="H33" i="1"/>
  <c r="F32" i="1"/>
  <c r="F31" i="2"/>
  <c r="H32" i="2"/>
  <c r="A33" i="1"/>
  <c r="A32" i="2"/>
  <c r="I32" i="2"/>
  <c r="L31" i="1"/>
  <c r="W32" i="1"/>
  <c r="M32" i="1" s="1"/>
  <c r="M32" i="2" s="1"/>
  <c r="V33" i="1"/>
  <c r="V32" i="2"/>
  <c r="U34" i="1"/>
  <c r="U33" i="2"/>
  <c r="L32" i="1" l="1"/>
  <c r="L32" i="2" s="1"/>
  <c r="J33" i="1"/>
  <c r="J33" i="2" s="1"/>
  <c r="K33" i="1"/>
  <c r="K33" i="2" s="1"/>
  <c r="I34" i="1"/>
  <c r="H34" i="1"/>
  <c r="G31" i="1"/>
  <c r="G31" i="2" s="1"/>
  <c r="L31" i="2"/>
  <c r="A34" i="1"/>
  <c r="A33" i="2"/>
  <c r="I33" i="2"/>
  <c r="F33" i="1"/>
  <c r="F34" i="1" s="1"/>
  <c r="F32" i="2"/>
  <c r="L33" i="1"/>
  <c r="H33" i="2"/>
  <c r="U35" i="1"/>
  <c r="U34" i="2"/>
  <c r="W33" i="1"/>
  <c r="M33" i="1" s="1"/>
  <c r="M33" i="2" s="1"/>
  <c r="V34" i="1"/>
  <c r="V33" i="2"/>
  <c r="G32" i="1" l="1"/>
  <c r="G32" i="2" s="1"/>
  <c r="J34" i="1"/>
  <c r="J34" i="2" s="1"/>
  <c r="K34" i="1"/>
  <c r="K34" i="2" s="1"/>
  <c r="H35" i="1"/>
  <c r="I35" i="1"/>
  <c r="G33" i="1"/>
  <c r="G33" i="2" s="1"/>
  <c r="L33" i="2"/>
  <c r="F33" i="2"/>
  <c r="A35" i="1"/>
  <c r="A34" i="2"/>
  <c r="L34" i="1"/>
  <c r="H34" i="2"/>
  <c r="I34" i="2"/>
  <c r="W34" i="1"/>
  <c r="M34" i="1" s="1"/>
  <c r="M34" i="2" s="1"/>
  <c r="V34" i="2"/>
  <c r="V35" i="1"/>
  <c r="U35" i="2"/>
  <c r="U36" i="1"/>
  <c r="J35" i="1" l="1"/>
  <c r="J35" i="2" s="1"/>
  <c r="K35" i="1"/>
  <c r="K35" i="2" s="1"/>
  <c r="G34" i="1"/>
  <c r="G34" i="2" s="1"/>
  <c r="L34" i="2"/>
  <c r="F35" i="1"/>
  <c r="F34" i="2"/>
  <c r="I36" i="1"/>
  <c r="H36" i="1"/>
  <c r="A36" i="1"/>
  <c r="A35" i="2"/>
  <c r="I35" i="2"/>
  <c r="L35" i="1"/>
  <c r="H35" i="2"/>
  <c r="V35" i="2"/>
  <c r="W35" i="1"/>
  <c r="M35" i="1" s="1"/>
  <c r="M35" i="2" s="1"/>
  <c r="V36" i="1"/>
  <c r="U36" i="2"/>
  <c r="U37" i="1"/>
  <c r="G35" i="1" l="1"/>
  <c r="G35" i="2" s="1"/>
  <c r="L35" i="2"/>
  <c r="H36" i="2"/>
  <c r="I37" i="1"/>
  <c r="H37" i="1"/>
  <c r="A37" i="1"/>
  <c r="A36" i="2"/>
  <c r="F36" i="1"/>
  <c r="F35" i="2"/>
  <c r="K36" i="1"/>
  <c r="K36" i="2" s="1"/>
  <c r="J36" i="1"/>
  <c r="J36" i="2" s="1"/>
  <c r="I36" i="2"/>
  <c r="V37" i="1"/>
  <c r="V36" i="2"/>
  <c r="W36" i="1"/>
  <c r="U38" i="1"/>
  <c r="U37" i="2"/>
  <c r="M36" i="1" l="1"/>
  <c r="M36" i="2" s="1"/>
  <c r="J37" i="1"/>
  <c r="J37" i="2" s="1"/>
  <c r="K37" i="1"/>
  <c r="K37" i="2" s="1"/>
  <c r="I37" i="2"/>
  <c r="I38" i="1"/>
  <c r="H38" i="1"/>
  <c r="F37" i="1"/>
  <c r="F36" i="2"/>
  <c r="A38" i="1"/>
  <c r="A37" i="2"/>
  <c r="L37" i="1"/>
  <c r="H37" i="2"/>
  <c r="L36" i="1"/>
  <c r="U39" i="1"/>
  <c r="U38" i="2"/>
  <c r="W37" i="1"/>
  <c r="M37" i="1" s="1"/>
  <c r="M37" i="2" s="1"/>
  <c r="V38" i="1"/>
  <c r="V37" i="2"/>
  <c r="G36" i="1" l="1"/>
  <c r="G36" i="2" s="1"/>
  <c r="L36" i="2"/>
  <c r="K38" i="1"/>
  <c r="K38" i="2" s="1"/>
  <c r="J38" i="1"/>
  <c r="J38" i="2" s="1"/>
  <c r="A39" i="1"/>
  <c r="A38" i="2"/>
  <c r="I39" i="1"/>
  <c r="H39" i="1"/>
  <c r="H38" i="2"/>
  <c r="G37" i="1"/>
  <c r="G37" i="2" s="1"/>
  <c r="L37" i="2"/>
  <c r="F38" i="1"/>
  <c r="F37" i="2"/>
  <c r="I38" i="2"/>
  <c r="W38" i="1"/>
  <c r="M38" i="1" s="1"/>
  <c r="M38" i="2" s="1"/>
  <c r="V39" i="1"/>
  <c r="V38" i="2"/>
  <c r="U40" i="1"/>
  <c r="U39" i="2"/>
  <c r="L38" i="1" l="1"/>
  <c r="L38" i="2" s="1"/>
  <c r="I40" i="1"/>
  <c r="H40" i="1"/>
  <c r="J39" i="1"/>
  <c r="J39" i="2" s="1"/>
  <c r="K39" i="1"/>
  <c r="K39" i="2" s="1"/>
  <c r="F39" i="1"/>
  <c r="F38" i="2"/>
  <c r="I39" i="2"/>
  <c r="L39" i="1"/>
  <c r="H39" i="2"/>
  <c r="A40" i="1"/>
  <c r="A39" i="2"/>
  <c r="W39" i="1"/>
  <c r="V39" i="2"/>
  <c r="V40" i="1"/>
  <c r="U41" i="1"/>
  <c r="U40" i="2"/>
  <c r="M39" i="1" l="1"/>
  <c r="M39" i="2" s="1"/>
  <c r="G38" i="1"/>
  <c r="G38" i="2" s="1"/>
  <c r="A41" i="1"/>
  <c r="A40" i="2"/>
  <c r="I41" i="1"/>
  <c r="H41" i="1"/>
  <c r="G39" i="1"/>
  <c r="G39" i="2" s="1"/>
  <c r="L39" i="2"/>
  <c r="F40" i="1"/>
  <c r="F39" i="2"/>
  <c r="K40" i="1"/>
  <c r="K40" i="2" s="1"/>
  <c r="J40" i="1"/>
  <c r="J40" i="2" s="1"/>
  <c r="H40" i="2"/>
  <c r="I40" i="2"/>
  <c r="W40" i="1"/>
  <c r="V40" i="2"/>
  <c r="V41" i="1"/>
  <c r="U42" i="1"/>
  <c r="U41" i="2"/>
  <c r="M40" i="1" l="1"/>
  <c r="M40" i="2" s="1"/>
  <c r="L40" i="1"/>
  <c r="L40" i="2" s="1"/>
  <c r="F41" i="1"/>
  <c r="F40" i="2"/>
  <c r="K41" i="1"/>
  <c r="K41" i="2" s="1"/>
  <c r="J41" i="1"/>
  <c r="J41" i="2" s="1"/>
  <c r="H41" i="2"/>
  <c r="I42" i="1"/>
  <c r="H42" i="1"/>
  <c r="I41" i="2"/>
  <c r="A42" i="1"/>
  <c r="A41" i="2"/>
  <c r="W41" i="1"/>
  <c r="M41" i="1" s="1"/>
  <c r="M41" i="2" s="1"/>
  <c r="V42" i="1"/>
  <c r="V41" i="2"/>
  <c r="U43" i="1"/>
  <c r="U42" i="2"/>
  <c r="G40" i="1" l="1"/>
  <c r="G40" i="2" s="1"/>
  <c r="L41" i="1"/>
  <c r="L41" i="2" s="1"/>
  <c r="A43" i="1"/>
  <c r="A42" i="2"/>
  <c r="J42" i="1"/>
  <c r="J42" i="2" s="1"/>
  <c r="K42" i="1"/>
  <c r="K42" i="2" s="1"/>
  <c r="G41" i="1"/>
  <c r="G41" i="2" s="1"/>
  <c r="H43" i="1"/>
  <c r="I43" i="1"/>
  <c r="L42" i="1"/>
  <c r="H42" i="2"/>
  <c r="I42" i="2"/>
  <c r="F42" i="1"/>
  <c r="F41" i="2"/>
  <c r="U43" i="2"/>
  <c r="U44" i="1"/>
  <c r="W42" i="1"/>
  <c r="M42" i="1" s="1"/>
  <c r="M42" i="2" s="1"/>
  <c r="V42" i="2"/>
  <c r="V43" i="1"/>
  <c r="I44" i="1" l="1"/>
  <c r="H44" i="1"/>
  <c r="G42" i="1"/>
  <c r="G42" i="2" s="1"/>
  <c r="L42" i="2"/>
  <c r="J43" i="1"/>
  <c r="J43" i="2" s="1"/>
  <c r="K43" i="1"/>
  <c r="K43" i="2" s="1"/>
  <c r="F43" i="1"/>
  <c r="F42" i="2"/>
  <c r="I43" i="2"/>
  <c r="H43" i="2"/>
  <c r="A44" i="1"/>
  <c r="A43" i="2"/>
  <c r="V43" i="2"/>
  <c r="V44" i="1"/>
  <c r="W43" i="1"/>
  <c r="M43" i="1" s="1"/>
  <c r="M43" i="2" s="1"/>
  <c r="U44" i="2"/>
  <c r="U45" i="1"/>
  <c r="L43" i="1" l="1"/>
  <c r="H45" i="1"/>
  <c r="I45" i="1"/>
  <c r="G43" i="1"/>
  <c r="G43" i="2" s="1"/>
  <c r="L43" i="2"/>
  <c r="K44" i="1"/>
  <c r="K44" i="2" s="1"/>
  <c r="J44" i="1"/>
  <c r="J44" i="2" s="1"/>
  <c r="A45" i="1"/>
  <c r="A44" i="2"/>
  <c r="F44" i="1"/>
  <c r="F43" i="2"/>
  <c r="H44" i="2"/>
  <c r="I44" i="2"/>
  <c r="U45" i="2"/>
  <c r="U46" i="1"/>
  <c r="V45" i="1"/>
  <c r="V44" i="2"/>
  <c r="W44" i="1"/>
  <c r="M44" i="1" s="1"/>
  <c r="M44" i="2" s="1"/>
  <c r="H46" i="1" l="1"/>
  <c r="I46" i="1"/>
  <c r="L44" i="1"/>
  <c r="K45" i="1"/>
  <c r="K45" i="2" s="1"/>
  <c r="J45" i="1"/>
  <c r="J45" i="2" s="1"/>
  <c r="G44" i="1"/>
  <c r="G44" i="2" s="1"/>
  <c r="L44" i="2"/>
  <c r="F45" i="1"/>
  <c r="F44" i="2"/>
  <c r="I45" i="2"/>
  <c r="A46" i="1"/>
  <c r="A45" i="2"/>
  <c r="L45" i="1"/>
  <c r="H45" i="2"/>
  <c r="W45" i="1"/>
  <c r="M45" i="1" s="1"/>
  <c r="M45" i="2" s="1"/>
  <c r="V45" i="2"/>
  <c r="V46" i="1"/>
  <c r="U46" i="2"/>
  <c r="U47" i="1"/>
  <c r="I47" i="1" l="1"/>
  <c r="H47" i="1"/>
  <c r="K46" i="1"/>
  <c r="K46" i="2" s="1"/>
  <c r="J46" i="1"/>
  <c r="J46" i="2" s="1"/>
  <c r="I46" i="2"/>
  <c r="H46" i="2"/>
  <c r="G45" i="1"/>
  <c r="G45" i="2" s="1"/>
  <c r="L45" i="2"/>
  <c r="A47" i="1"/>
  <c r="A46" i="2"/>
  <c r="F46" i="1"/>
  <c r="F45" i="2"/>
  <c r="U48" i="1"/>
  <c r="U47" i="2"/>
  <c r="V46" i="2"/>
  <c r="W46" i="1"/>
  <c r="M46" i="1" s="1"/>
  <c r="M46" i="2" s="1"/>
  <c r="V47" i="1"/>
  <c r="L46" i="1" l="1"/>
  <c r="H48" i="1"/>
  <c r="I48" i="1"/>
  <c r="K47" i="1"/>
  <c r="K47" i="2" s="1"/>
  <c r="J47" i="1"/>
  <c r="J47" i="2" s="1"/>
  <c r="H47" i="2"/>
  <c r="I47" i="2"/>
  <c r="G46" i="1"/>
  <c r="G46" i="2" s="1"/>
  <c r="L46" i="2"/>
  <c r="F47" i="1"/>
  <c r="F46" i="2"/>
  <c r="A48" i="1"/>
  <c r="A47" i="2"/>
  <c r="V48" i="1"/>
  <c r="W47" i="1"/>
  <c r="M47" i="1" s="1"/>
  <c r="V47" i="2"/>
  <c r="U49" i="1"/>
  <c r="U48" i="2"/>
  <c r="I49" i="1" l="1"/>
  <c r="H49" i="1"/>
  <c r="J48" i="1"/>
  <c r="J48" i="2" s="1"/>
  <c r="K48" i="1"/>
  <c r="K48" i="2" s="1"/>
  <c r="I48" i="2"/>
  <c r="L48" i="1"/>
  <c r="H48" i="2"/>
  <c r="L47" i="1"/>
  <c r="L47" i="2" s="1"/>
  <c r="M47" i="2"/>
  <c r="A49" i="1"/>
  <c r="A48" i="2"/>
  <c r="F48" i="1"/>
  <c r="F47" i="2"/>
  <c r="U50" i="1"/>
  <c r="U49" i="2"/>
  <c r="W48" i="1"/>
  <c r="M48" i="1" s="1"/>
  <c r="M48" i="2" s="1"/>
  <c r="V49" i="1"/>
  <c r="V48" i="2"/>
  <c r="H50" i="1" l="1"/>
  <c r="I50" i="1"/>
  <c r="J49" i="1"/>
  <c r="J49" i="2" s="1"/>
  <c r="K49" i="1"/>
  <c r="K49" i="2" s="1"/>
  <c r="H49" i="2"/>
  <c r="I49" i="2"/>
  <c r="G47" i="1"/>
  <c r="G47" i="2" s="1"/>
  <c r="G48" i="1"/>
  <c r="G48" i="2" s="1"/>
  <c r="L48" i="2"/>
  <c r="F49" i="1"/>
  <c r="F48" i="2"/>
  <c r="A50" i="1"/>
  <c r="A49" i="2"/>
  <c r="W49" i="1"/>
  <c r="M49" i="1" s="1"/>
  <c r="M49" i="2" s="1"/>
  <c r="V49" i="2"/>
  <c r="V50" i="1"/>
  <c r="U50" i="2"/>
  <c r="U51" i="1"/>
  <c r="L49" i="1" l="1"/>
  <c r="I51" i="1"/>
  <c r="H51" i="1"/>
  <c r="K50" i="1"/>
  <c r="K50" i="2" s="1"/>
  <c r="J50" i="1"/>
  <c r="J50" i="2" s="1"/>
  <c r="I50" i="2"/>
  <c r="H50" i="2"/>
  <c r="G49" i="1"/>
  <c r="G49" i="2" s="1"/>
  <c r="L49" i="2"/>
  <c r="A51" i="1"/>
  <c r="A50" i="2"/>
  <c r="F50" i="1"/>
  <c r="F49" i="2"/>
  <c r="V50" i="2"/>
  <c r="W50" i="1"/>
  <c r="M50" i="1" s="1"/>
  <c r="M50" i="2" s="1"/>
  <c r="V51" i="1"/>
  <c r="U51" i="2"/>
  <c r="U52" i="1"/>
  <c r="I52" i="1" l="1"/>
  <c r="H52" i="1"/>
  <c r="L50" i="1"/>
  <c r="L50" i="2" s="1"/>
  <c r="J51" i="1"/>
  <c r="J51" i="2" s="1"/>
  <c r="K51" i="1"/>
  <c r="K51" i="2" s="1"/>
  <c r="H51" i="2"/>
  <c r="I51" i="2"/>
  <c r="G50" i="1"/>
  <c r="G50" i="2" s="1"/>
  <c r="F51" i="1"/>
  <c r="F50" i="2"/>
  <c r="A52" i="1"/>
  <c r="A51" i="2"/>
  <c r="U52" i="2"/>
  <c r="U53" i="1"/>
  <c r="V51" i="2"/>
  <c r="W51" i="1"/>
  <c r="M51" i="1" s="1"/>
  <c r="M51" i="2" s="1"/>
  <c r="V52" i="1"/>
  <c r="L51" i="1" l="1"/>
  <c r="L51" i="2" s="1"/>
  <c r="I53" i="1"/>
  <c r="H53" i="1"/>
  <c r="K52" i="1"/>
  <c r="K52" i="2" s="1"/>
  <c r="J52" i="1"/>
  <c r="J52" i="2" s="1"/>
  <c r="H52" i="2"/>
  <c r="I52" i="2"/>
  <c r="G51" i="1"/>
  <c r="G51" i="2" s="1"/>
  <c r="A53" i="1"/>
  <c r="A52" i="2"/>
  <c r="F52" i="1"/>
  <c r="F51" i="2"/>
  <c r="V52" i="2"/>
  <c r="V53" i="1"/>
  <c r="W52" i="1"/>
  <c r="M52" i="1" s="1"/>
  <c r="M52" i="2" s="1"/>
  <c r="U53" i="2"/>
  <c r="U54" i="1"/>
  <c r="K53" i="1" l="1"/>
  <c r="K53" i="2" s="1"/>
  <c r="J53" i="1"/>
  <c r="J53" i="2" s="1"/>
  <c r="I54" i="1"/>
  <c r="H54" i="1"/>
  <c r="L52" i="1"/>
  <c r="H53" i="2"/>
  <c r="I53" i="2"/>
  <c r="F53" i="1"/>
  <c r="F52" i="2"/>
  <c r="A54" i="1"/>
  <c r="A53" i="2"/>
  <c r="U54" i="2"/>
  <c r="U55" i="1"/>
  <c r="V53" i="2"/>
  <c r="W53" i="1"/>
  <c r="M53" i="1" s="1"/>
  <c r="M53" i="2" s="1"/>
  <c r="V54" i="1"/>
  <c r="L53" i="1" l="1"/>
  <c r="L53" i="2" s="1"/>
  <c r="J54" i="1"/>
  <c r="J54" i="2" s="1"/>
  <c r="K54" i="1"/>
  <c r="K54" i="2" s="1"/>
  <c r="I55" i="1"/>
  <c r="H55" i="1"/>
  <c r="G53" i="1"/>
  <c r="G53" i="2" s="1"/>
  <c r="G52" i="1"/>
  <c r="G52" i="2" s="1"/>
  <c r="L52" i="2"/>
  <c r="L54" i="1"/>
  <c r="H54" i="2"/>
  <c r="I54" i="2"/>
  <c r="A55" i="1"/>
  <c r="A54" i="2"/>
  <c r="F54" i="1"/>
  <c r="F53" i="2"/>
  <c r="V54" i="2"/>
  <c r="V55" i="1"/>
  <c r="W54" i="1"/>
  <c r="M54" i="1" s="1"/>
  <c r="M54" i="2" s="1"/>
  <c r="U55" i="2"/>
  <c r="U56" i="1"/>
  <c r="H56" i="1" l="1"/>
  <c r="I56" i="1"/>
  <c r="J55" i="1"/>
  <c r="J55" i="2" s="1"/>
  <c r="K55" i="1"/>
  <c r="K55" i="2" s="1"/>
  <c r="G54" i="1"/>
  <c r="G54" i="2" s="1"/>
  <c r="L54" i="2"/>
  <c r="L55" i="1"/>
  <c r="H55" i="2"/>
  <c r="I55" i="2"/>
  <c r="F55" i="1"/>
  <c r="F54" i="2"/>
  <c r="A56" i="1"/>
  <c r="A55" i="2"/>
  <c r="U56" i="2"/>
  <c r="U57" i="1"/>
  <c r="V55" i="2"/>
  <c r="W55" i="1"/>
  <c r="M55" i="1" s="1"/>
  <c r="M55" i="2" s="1"/>
  <c r="V56" i="1"/>
  <c r="J56" i="1" l="1"/>
  <c r="J56" i="2" s="1"/>
  <c r="K56" i="1"/>
  <c r="K56" i="2" s="1"/>
  <c r="I57" i="1"/>
  <c r="H57" i="1"/>
  <c r="G55" i="1"/>
  <c r="G55" i="2" s="1"/>
  <c r="L55" i="2"/>
  <c r="I56" i="2"/>
  <c r="H56" i="2"/>
  <c r="A57" i="1"/>
  <c r="A56" i="2"/>
  <c r="F56" i="1"/>
  <c r="F55" i="2"/>
  <c r="V56" i="2"/>
  <c r="W56" i="1"/>
  <c r="V57" i="1"/>
  <c r="U57" i="2"/>
  <c r="U58" i="1"/>
  <c r="M56" i="1" l="1"/>
  <c r="M56" i="2" s="1"/>
  <c r="L56" i="1"/>
  <c r="J57" i="1"/>
  <c r="J57" i="2" s="1"/>
  <c r="K57" i="1"/>
  <c r="K57" i="2" s="1"/>
  <c r="G56" i="1"/>
  <c r="G56" i="2" s="1"/>
  <c r="L56" i="2"/>
  <c r="I58" i="1"/>
  <c r="H58" i="1"/>
  <c r="I57" i="2"/>
  <c r="L57" i="1"/>
  <c r="L57" i="2" s="1"/>
  <c r="H57" i="2"/>
  <c r="F57" i="1"/>
  <c r="F56" i="2"/>
  <c r="A58" i="1"/>
  <c r="A57" i="2"/>
  <c r="V57" i="2"/>
  <c r="W57" i="1"/>
  <c r="M57" i="1" s="1"/>
  <c r="V58" i="1"/>
  <c r="U59" i="1"/>
  <c r="U58" i="2"/>
  <c r="G57" i="1" l="1"/>
  <c r="G57" i="2" s="1"/>
  <c r="M57" i="2"/>
  <c r="J58" i="1"/>
  <c r="J58" i="2" s="1"/>
  <c r="K58" i="1"/>
  <c r="K58" i="2" s="1"/>
  <c r="H59" i="1"/>
  <c r="I59" i="1"/>
  <c r="L58" i="1"/>
  <c r="H58" i="2"/>
  <c r="I58" i="2"/>
  <c r="A59" i="1"/>
  <c r="A58" i="2"/>
  <c r="F58" i="1"/>
  <c r="F57" i="2"/>
  <c r="W58" i="1"/>
  <c r="M58" i="1" s="1"/>
  <c r="M58" i="2" s="1"/>
  <c r="V59" i="1"/>
  <c r="V58" i="2"/>
  <c r="U60" i="1"/>
  <c r="U59" i="2"/>
  <c r="J59" i="1" l="1"/>
  <c r="J59" i="2" s="1"/>
  <c r="K59" i="1"/>
  <c r="K59" i="2" s="1"/>
  <c r="H60" i="1"/>
  <c r="I60" i="1"/>
  <c r="L58" i="2"/>
  <c r="G58" i="1"/>
  <c r="G58" i="2" s="1"/>
  <c r="I59" i="2"/>
  <c r="L59" i="1"/>
  <c r="H59" i="2"/>
  <c r="F59" i="1"/>
  <c r="F58" i="2"/>
  <c r="A60" i="1"/>
  <c r="A59" i="2"/>
  <c r="U61" i="1"/>
  <c r="U60" i="2"/>
  <c r="V60" i="1"/>
  <c r="W59" i="1"/>
  <c r="M59" i="1" s="1"/>
  <c r="M59" i="2" s="1"/>
  <c r="V59" i="2"/>
  <c r="G59" i="1" l="1"/>
  <c r="G59" i="2" s="1"/>
  <c r="L59" i="2"/>
  <c r="H61" i="1"/>
  <c r="I61" i="1"/>
  <c r="H60" i="2"/>
  <c r="J60" i="1"/>
  <c r="J60" i="2" s="1"/>
  <c r="K60" i="1"/>
  <c r="K60" i="2" s="1"/>
  <c r="I60" i="2"/>
  <c r="A61" i="1"/>
  <c r="A60" i="2"/>
  <c r="F60" i="1"/>
  <c r="F59" i="2"/>
  <c r="W60" i="1"/>
  <c r="M60" i="1" s="1"/>
  <c r="M60" i="2" s="1"/>
  <c r="V61" i="1"/>
  <c r="V60" i="2"/>
  <c r="U62" i="1"/>
  <c r="U61" i="2"/>
  <c r="I62" i="1" l="1"/>
  <c r="H62" i="1"/>
  <c r="J61" i="1"/>
  <c r="J61" i="2" s="1"/>
  <c r="K61" i="1"/>
  <c r="K61" i="2" s="1"/>
  <c r="L60" i="1"/>
  <c r="I61" i="2"/>
  <c r="H61" i="2"/>
  <c r="F61" i="1"/>
  <c r="F60" i="2"/>
  <c r="A62" i="1"/>
  <c r="A61" i="2"/>
  <c r="U62" i="2"/>
  <c r="U63" i="1"/>
  <c r="V61" i="2"/>
  <c r="W61" i="1"/>
  <c r="M61" i="1" s="1"/>
  <c r="M61" i="2" s="1"/>
  <c r="V62" i="1"/>
  <c r="L61" i="1" l="1"/>
  <c r="L61" i="2" s="1"/>
  <c r="I63" i="1"/>
  <c r="H63" i="1"/>
  <c r="K62" i="1"/>
  <c r="K62" i="2" s="1"/>
  <c r="J62" i="1"/>
  <c r="J62" i="2" s="1"/>
  <c r="G61" i="1"/>
  <c r="G61" i="2" s="1"/>
  <c r="L60" i="2"/>
  <c r="G60" i="1"/>
  <c r="G60" i="2" s="1"/>
  <c r="L62" i="1"/>
  <c r="H62" i="2"/>
  <c r="I62" i="2"/>
  <c r="A63" i="1"/>
  <c r="A62" i="2"/>
  <c r="F62" i="1"/>
  <c r="F61" i="2"/>
  <c r="V62" i="2"/>
  <c r="W62" i="1"/>
  <c r="M62" i="1" s="1"/>
  <c r="M62" i="2" s="1"/>
  <c r="V63" i="1"/>
  <c r="U64" i="1"/>
  <c r="U63" i="2"/>
  <c r="I64" i="1" l="1"/>
  <c r="H64" i="1"/>
  <c r="K63" i="1"/>
  <c r="K63" i="2" s="1"/>
  <c r="J63" i="1"/>
  <c r="J63" i="2" s="1"/>
  <c r="G62" i="1"/>
  <c r="G62" i="2" s="1"/>
  <c r="L62" i="2"/>
  <c r="H63" i="2"/>
  <c r="I63" i="2"/>
  <c r="F63" i="1"/>
  <c r="F62" i="2"/>
  <c r="A64" i="1"/>
  <c r="A63" i="2"/>
  <c r="V64" i="1"/>
  <c r="V63" i="2"/>
  <c r="W63" i="1"/>
  <c r="M63" i="1" s="1"/>
  <c r="M63" i="2" s="1"/>
  <c r="U64" i="2"/>
  <c r="U65" i="1"/>
  <c r="L63" i="1" l="1"/>
  <c r="L63" i="2" s="1"/>
  <c r="G63" i="1"/>
  <c r="G63" i="2" s="1"/>
  <c r="H65" i="1"/>
  <c r="I65" i="1"/>
  <c r="H64" i="2"/>
  <c r="K64" i="1"/>
  <c r="K64" i="2" s="1"/>
  <c r="J64" i="1"/>
  <c r="J64" i="2" s="1"/>
  <c r="I64" i="2"/>
  <c r="A65" i="1"/>
  <c r="A64" i="2"/>
  <c r="F64" i="1"/>
  <c r="F63" i="2"/>
  <c r="U65" i="2"/>
  <c r="U66" i="1"/>
  <c r="V64" i="2"/>
  <c r="V65" i="1"/>
  <c r="W64" i="1"/>
  <c r="M64" i="1" s="1"/>
  <c r="M64" i="2" s="1"/>
  <c r="H66" i="1" l="1"/>
  <c r="I66" i="1"/>
  <c r="J65" i="1"/>
  <c r="J65" i="2" s="1"/>
  <c r="K65" i="1"/>
  <c r="K65" i="2" s="1"/>
  <c r="H65" i="2"/>
  <c r="L64" i="1"/>
  <c r="I65" i="2"/>
  <c r="F65" i="1"/>
  <c r="F64" i="2"/>
  <c r="A66" i="1"/>
  <c r="A65" i="2"/>
  <c r="V65" i="2"/>
  <c r="W65" i="1"/>
  <c r="V66" i="1"/>
  <c r="U67" i="1"/>
  <c r="U66" i="2"/>
  <c r="M65" i="1" l="1"/>
  <c r="M65" i="2" s="1"/>
  <c r="L65" i="1"/>
  <c r="L65" i="2" s="1"/>
  <c r="I67" i="1"/>
  <c r="H67" i="1"/>
  <c r="J66" i="1"/>
  <c r="J66" i="2" s="1"/>
  <c r="K66" i="1"/>
  <c r="K66" i="2" s="1"/>
  <c r="G64" i="1"/>
  <c r="G64" i="2" s="1"/>
  <c r="L64" i="2"/>
  <c r="I66" i="2"/>
  <c r="H66" i="2"/>
  <c r="L66" i="1"/>
  <c r="A67" i="1"/>
  <c r="A66" i="2"/>
  <c r="F66" i="1"/>
  <c r="F65" i="2"/>
  <c r="U68" i="1"/>
  <c r="U67" i="2"/>
  <c r="W66" i="1"/>
  <c r="M66" i="1" s="1"/>
  <c r="M66" i="2" s="1"/>
  <c r="V67" i="1"/>
  <c r="V66" i="2"/>
  <c r="G65" i="1" l="1"/>
  <c r="G65" i="2" s="1"/>
  <c r="H68" i="1"/>
  <c r="I68" i="1"/>
  <c r="K67" i="1"/>
  <c r="K67" i="2" s="1"/>
  <c r="J67" i="1"/>
  <c r="J67" i="2" s="1"/>
  <c r="H67" i="2"/>
  <c r="G66" i="1"/>
  <c r="G66" i="2" s="1"/>
  <c r="L66" i="2"/>
  <c r="I67" i="2"/>
  <c r="F67" i="1"/>
  <c r="F66" i="2"/>
  <c r="A68" i="1"/>
  <c r="A67" i="2"/>
  <c r="V67" i="2"/>
  <c r="V68" i="1"/>
  <c r="W67" i="1"/>
  <c r="M67" i="1" s="1"/>
  <c r="M67" i="2" s="1"/>
  <c r="U68" i="2"/>
  <c r="U69" i="1"/>
  <c r="I69" i="1" l="1"/>
  <c r="H69" i="1"/>
  <c r="J68" i="1"/>
  <c r="J68" i="2" s="1"/>
  <c r="K68" i="1"/>
  <c r="K68" i="2" s="1"/>
  <c r="L67" i="1"/>
  <c r="I68" i="2"/>
  <c r="L68" i="1"/>
  <c r="H68" i="2"/>
  <c r="A69" i="1"/>
  <c r="A68" i="2"/>
  <c r="F68" i="1"/>
  <c r="F67" i="2"/>
  <c r="U70" i="1"/>
  <c r="U69" i="2"/>
  <c r="V69" i="1"/>
  <c r="V68" i="2"/>
  <c r="W68" i="1"/>
  <c r="M68" i="1" s="1"/>
  <c r="M68" i="2" s="1"/>
  <c r="H70" i="1" l="1"/>
  <c r="I70" i="1"/>
  <c r="G68" i="1"/>
  <c r="G68" i="2" s="1"/>
  <c r="L68" i="2"/>
  <c r="G67" i="1"/>
  <c r="G67" i="2" s="1"/>
  <c r="L67" i="2"/>
  <c r="H69" i="2"/>
  <c r="K69" i="1"/>
  <c r="K69" i="2" s="1"/>
  <c r="J69" i="1"/>
  <c r="J69" i="2" s="1"/>
  <c r="I69" i="2"/>
  <c r="F69" i="1"/>
  <c r="F68" i="2"/>
  <c r="A70" i="1"/>
  <c r="A69" i="2"/>
  <c r="W69" i="1"/>
  <c r="M69" i="1" s="1"/>
  <c r="M69" i="2" s="1"/>
  <c r="V70" i="1"/>
  <c r="V69" i="2"/>
  <c r="U71" i="1"/>
  <c r="U70" i="2"/>
  <c r="J70" i="1" l="1"/>
  <c r="J70" i="2" s="1"/>
  <c r="K70" i="1"/>
  <c r="K70" i="2" s="1"/>
  <c r="H71" i="1"/>
  <c r="I71" i="1"/>
  <c r="L69" i="1"/>
  <c r="I70" i="2"/>
  <c r="H70" i="2"/>
  <c r="A71" i="1"/>
  <c r="A70" i="2"/>
  <c r="F70" i="1"/>
  <c r="F69" i="2"/>
  <c r="U72" i="1"/>
  <c r="U71" i="2"/>
  <c r="W70" i="1"/>
  <c r="M70" i="1" s="1"/>
  <c r="M70" i="2" s="1"/>
  <c r="V71" i="1"/>
  <c r="V70" i="2"/>
  <c r="L70" i="1" l="1"/>
  <c r="G70" i="1" s="1"/>
  <c r="G70" i="2" s="1"/>
  <c r="H71" i="2"/>
  <c r="J71" i="1"/>
  <c r="J71" i="2" s="1"/>
  <c r="K71" i="1"/>
  <c r="K71" i="2" s="1"/>
  <c r="H72" i="1"/>
  <c r="I72" i="1"/>
  <c r="G69" i="1"/>
  <c r="G69" i="2" s="1"/>
  <c r="L69" i="2"/>
  <c r="I71" i="2"/>
  <c r="F71" i="1"/>
  <c r="F70" i="2"/>
  <c r="A72" i="1"/>
  <c r="A71" i="2"/>
  <c r="W71" i="1"/>
  <c r="M71" i="1" s="1"/>
  <c r="M71" i="2" s="1"/>
  <c r="V72" i="1"/>
  <c r="V71" i="2"/>
  <c r="U72" i="2"/>
  <c r="U73" i="1"/>
  <c r="L70" i="2" l="1"/>
  <c r="J72" i="1"/>
  <c r="J72" i="2" s="1"/>
  <c r="K72" i="1"/>
  <c r="K72" i="2" s="1"/>
  <c r="I73" i="1"/>
  <c r="H73" i="1"/>
  <c r="I72" i="2"/>
  <c r="H72" i="2"/>
  <c r="L72" i="1"/>
  <c r="L71" i="1"/>
  <c r="A73" i="1"/>
  <c r="A72" i="2"/>
  <c r="F72" i="1"/>
  <c r="F71" i="2"/>
  <c r="U74" i="1"/>
  <c r="U73" i="2"/>
  <c r="V72" i="2"/>
  <c r="W72" i="1"/>
  <c r="M72" i="1" s="1"/>
  <c r="M72" i="2" s="1"/>
  <c r="V73" i="1"/>
  <c r="G71" i="1" l="1"/>
  <c r="G71" i="2" s="1"/>
  <c r="L71" i="2"/>
  <c r="J73" i="1"/>
  <c r="J73" i="2" s="1"/>
  <c r="K73" i="1"/>
  <c r="K73" i="2" s="1"/>
  <c r="G72" i="1"/>
  <c r="G72" i="2" s="1"/>
  <c r="L72" i="2"/>
  <c r="I74" i="1"/>
  <c r="H74" i="1"/>
  <c r="L73" i="1"/>
  <c r="H73" i="2"/>
  <c r="I73" i="2"/>
  <c r="F73" i="1"/>
  <c r="F72" i="2"/>
  <c r="A74" i="1"/>
  <c r="A73" i="2"/>
  <c r="V74" i="1"/>
  <c r="W73" i="1"/>
  <c r="M73" i="1" s="1"/>
  <c r="M73" i="2" s="1"/>
  <c r="V73" i="2"/>
  <c r="U75" i="1"/>
  <c r="U74" i="2"/>
  <c r="J74" i="1" l="1"/>
  <c r="J74" i="2" s="1"/>
  <c r="K74" i="1"/>
  <c r="K74" i="2" s="1"/>
  <c r="I75" i="1"/>
  <c r="H75" i="1"/>
  <c r="L74" i="1"/>
  <c r="H74" i="2"/>
  <c r="I74" i="2"/>
  <c r="G73" i="1"/>
  <c r="G73" i="2" s="1"/>
  <c r="L73" i="2"/>
  <c r="A75" i="1"/>
  <c r="A74" i="2"/>
  <c r="F74" i="1"/>
  <c r="F73" i="2"/>
  <c r="U76" i="1"/>
  <c r="U75" i="2"/>
  <c r="W74" i="1"/>
  <c r="V75" i="1"/>
  <c r="V74" i="2"/>
  <c r="M74" i="1" l="1"/>
  <c r="M74" i="2" s="1"/>
  <c r="J75" i="1"/>
  <c r="J75" i="2" s="1"/>
  <c r="K75" i="1"/>
  <c r="K75" i="2" s="1"/>
  <c r="I75" i="2"/>
  <c r="I76" i="1"/>
  <c r="H76" i="1"/>
  <c r="G74" i="1"/>
  <c r="G74" i="2" s="1"/>
  <c r="L74" i="2"/>
  <c r="L75" i="1"/>
  <c r="H75" i="2"/>
  <c r="F75" i="1"/>
  <c r="F74" i="2"/>
  <c r="A76" i="1"/>
  <c r="A75" i="2"/>
  <c r="V75" i="2"/>
  <c r="V76" i="1"/>
  <c r="W75" i="1"/>
  <c r="M75" i="1" s="1"/>
  <c r="M75" i="2" s="1"/>
  <c r="U77" i="1"/>
  <c r="U76" i="2"/>
  <c r="K76" i="1" l="1"/>
  <c r="K76" i="2" s="1"/>
  <c r="J76" i="1"/>
  <c r="J76" i="2" s="1"/>
  <c r="H77" i="1"/>
  <c r="I77" i="1"/>
  <c r="G75" i="1"/>
  <c r="G75" i="2" s="1"/>
  <c r="L75" i="2"/>
  <c r="H76" i="2"/>
  <c r="I76" i="2"/>
  <c r="A77" i="1"/>
  <c r="A76" i="2"/>
  <c r="F76" i="1"/>
  <c r="F75" i="2"/>
  <c r="U78" i="1"/>
  <c r="U77" i="2"/>
  <c r="W76" i="1"/>
  <c r="V77" i="1"/>
  <c r="V76" i="2"/>
  <c r="L76" i="1" l="1"/>
  <c r="L76" i="2" s="1"/>
  <c r="M76" i="1"/>
  <c r="M76" i="2" s="1"/>
  <c r="J77" i="1"/>
  <c r="J77" i="2" s="1"/>
  <c r="K77" i="1"/>
  <c r="K77" i="2" s="1"/>
  <c r="I78" i="1"/>
  <c r="H78" i="1"/>
  <c r="I77" i="2"/>
  <c r="H77" i="2"/>
  <c r="F77" i="1"/>
  <c r="F76" i="2"/>
  <c r="A78" i="1"/>
  <c r="A77" i="2"/>
  <c r="W77" i="1"/>
  <c r="M77" i="1" s="1"/>
  <c r="M77" i="2" s="1"/>
  <c r="V78" i="1"/>
  <c r="V77" i="2"/>
  <c r="U78" i="2"/>
  <c r="U79" i="1"/>
  <c r="L77" i="1" l="1"/>
  <c r="L77" i="2" s="1"/>
  <c r="G76" i="1"/>
  <c r="G76" i="2" s="1"/>
  <c r="J78" i="1"/>
  <c r="J78" i="2" s="1"/>
  <c r="K78" i="1"/>
  <c r="K78" i="2" s="1"/>
  <c r="I78" i="2"/>
  <c r="I79" i="1"/>
  <c r="H79" i="1"/>
  <c r="L78" i="1"/>
  <c r="H78" i="2"/>
  <c r="A79" i="1"/>
  <c r="A78" i="2"/>
  <c r="F78" i="1"/>
  <c r="F77" i="2"/>
  <c r="U80" i="1"/>
  <c r="U79" i="2"/>
  <c r="V78" i="2"/>
  <c r="W78" i="1"/>
  <c r="M78" i="1" s="1"/>
  <c r="M78" i="2" s="1"/>
  <c r="V79" i="1"/>
  <c r="G77" i="1" l="1"/>
  <c r="G77" i="2" s="1"/>
  <c r="H80" i="1"/>
  <c r="I80" i="1"/>
  <c r="G78" i="1"/>
  <c r="G78" i="2" s="1"/>
  <c r="L78" i="2"/>
  <c r="J79" i="1"/>
  <c r="J79" i="2" s="1"/>
  <c r="K79" i="1"/>
  <c r="K79" i="2" s="1"/>
  <c r="H79" i="2"/>
  <c r="I79" i="2"/>
  <c r="F79" i="1"/>
  <c r="F78" i="2"/>
  <c r="A80" i="1"/>
  <c r="A79" i="2"/>
  <c r="V80" i="1"/>
  <c r="V79" i="2"/>
  <c r="W79" i="1"/>
  <c r="M79" i="1" s="1"/>
  <c r="M79" i="2" s="1"/>
  <c r="U81" i="1"/>
  <c r="U80" i="2"/>
  <c r="L79" i="1" l="1"/>
  <c r="I81" i="1"/>
  <c r="H81" i="1"/>
  <c r="G79" i="1"/>
  <c r="G79" i="2" s="1"/>
  <c r="L79" i="2"/>
  <c r="J80" i="1"/>
  <c r="J80" i="2" s="1"/>
  <c r="K80" i="1"/>
  <c r="K80" i="2" s="1"/>
  <c r="I80" i="2"/>
  <c r="H80" i="2"/>
  <c r="L80" i="1"/>
  <c r="A81" i="1"/>
  <c r="A80" i="2"/>
  <c r="F80" i="1"/>
  <c r="F79" i="2"/>
  <c r="U81" i="2"/>
  <c r="U82" i="1"/>
  <c r="W80" i="1"/>
  <c r="M80" i="1" s="1"/>
  <c r="M80" i="2" s="1"/>
  <c r="V81" i="1"/>
  <c r="V80" i="2"/>
  <c r="J81" i="1" l="1"/>
  <c r="J81" i="2" s="1"/>
  <c r="K81" i="1"/>
  <c r="K81" i="2" s="1"/>
  <c r="H81" i="2"/>
  <c r="I82" i="1"/>
  <c r="H82" i="1"/>
  <c r="G80" i="1"/>
  <c r="G80" i="2" s="1"/>
  <c r="L80" i="2"/>
  <c r="I81" i="2"/>
  <c r="F81" i="1"/>
  <c r="F80" i="2"/>
  <c r="A82" i="1"/>
  <c r="A81" i="2"/>
  <c r="W81" i="1"/>
  <c r="M81" i="1" s="1"/>
  <c r="M81" i="2" s="1"/>
  <c r="V81" i="2"/>
  <c r="V82" i="1"/>
  <c r="U82" i="2"/>
  <c r="U83" i="1"/>
  <c r="L81" i="1" l="1"/>
  <c r="K82" i="1"/>
  <c r="K82" i="2" s="1"/>
  <c r="J82" i="1"/>
  <c r="J82" i="2" s="1"/>
  <c r="G81" i="1"/>
  <c r="G81" i="2" s="1"/>
  <c r="L81" i="2"/>
  <c r="I83" i="1"/>
  <c r="H83" i="1"/>
  <c r="L82" i="1"/>
  <c r="H82" i="2"/>
  <c r="I82" i="2"/>
  <c r="A83" i="1"/>
  <c r="A82" i="2"/>
  <c r="F82" i="1"/>
  <c r="F81" i="2"/>
  <c r="V82" i="2"/>
  <c r="V83" i="1"/>
  <c r="W82" i="1"/>
  <c r="M82" i="1" s="1"/>
  <c r="M82" i="2" s="1"/>
  <c r="U83" i="2"/>
  <c r="U84" i="1"/>
  <c r="I84" i="1" l="1"/>
  <c r="H84" i="1"/>
  <c r="G82" i="1"/>
  <c r="G82" i="2" s="1"/>
  <c r="L82" i="2"/>
  <c r="J83" i="1"/>
  <c r="J83" i="2" s="1"/>
  <c r="K83" i="1"/>
  <c r="K83" i="2" s="1"/>
  <c r="H83" i="2"/>
  <c r="I83" i="2"/>
  <c r="F83" i="1"/>
  <c r="F82" i="2"/>
  <c r="A84" i="1"/>
  <c r="A83" i="2"/>
  <c r="U84" i="2"/>
  <c r="U85" i="1"/>
  <c r="V83" i="2"/>
  <c r="V84" i="1"/>
  <c r="W83" i="1"/>
  <c r="M83" i="1" s="1"/>
  <c r="M83" i="2" s="1"/>
  <c r="L83" i="1" l="1"/>
  <c r="L83" i="2" s="1"/>
  <c r="I85" i="1"/>
  <c r="H85" i="1"/>
  <c r="J84" i="1"/>
  <c r="J84" i="2" s="1"/>
  <c r="K84" i="1"/>
  <c r="K84" i="2" s="1"/>
  <c r="G83" i="1"/>
  <c r="G83" i="2" s="1"/>
  <c r="L84" i="1"/>
  <c r="H84" i="2"/>
  <c r="I84" i="2"/>
  <c r="A85" i="1"/>
  <c r="A84" i="2"/>
  <c r="F84" i="1"/>
  <c r="F83" i="2"/>
  <c r="V84" i="2"/>
  <c r="V85" i="1"/>
  <c r="W84" i="1"/>
  <c r="M84" i="1" s="1"/>
  <c r="M84" i="2" s="1"/>
  <c r="U85" i="2"/>
  <c r="U86" i="1"/>
  <c r="I86" i="1" l="1"/>
  <c r="H86" i="1"/>
  <c r="J85" i="1"/>
  <c r="J85" i="2" s="1"/>
  <c r="K85" i="1"/>
  <c r="K85" i="2" s="1"/>
  <c r="G84" i="1"/>
  <c r="G84" i="2" s="1"/>
  <c r="L84" i="2"/>
  <c r="L85" i="1"/>
  <c r="H85" i="2"/>
  <c r="I85" i="2"/>
  <c r="F85" i="1"/>
  <c r="F84" i="2"/>
  <c r="A86" i="1"/>
  <c r="A85" i="2"/>
  <c r="U86" i="2"/>
  <c r="U87" i="1"/>
  <c r="V85" i="2"/>
  <c r="W85" i="1"/>
  <c r="M85" i="1" s="1"/>
  <c r="M85" i="2" s="1"/>
  <c r="V86" i="1"/>
  <c r="J86" i="1" l="1"/>
  <c r="J86" i="2" s="1"/>
  <c r="K86" i="1"/>
  <c r="K86" i="2" s="1"/>
  <c r="I87" i="1"/>
  <c r="H87" i="1"/>
  <c r="G85" i="1"/>
  <c r="G85" i="2" s="1"/>
  <c r="L85" i="2"/>
  <c r="L86" i="1"/>
  <c r="H86" i="2"/>
  <c r="I86" i="2"/>
  <c r="A87" i="1"/>
  <c r="A86" i="2"/>
  <c r="F86" i="1"/>
  <c r="F85" i="2"/>
  <c r="V86" i="2"/>
  <c r="W86" i="1"/>
  <c r="V87" i="1"/>
  <c r="U88" i="1"/>
  <c r="U87" i="2"/>
  <c r="M86" i="1" l="1"/>
  <c r="M86" i="2" s="1"/>
  <c r="H88" i="1"/>
  <c r="I88" i="1"/>
  <c r="J87" i="1"/>
  <c r="J87" i="2" s="1"/>
  <c r="K87" i="1"/>
  <c r="K87" i="2" s="1"/>
  <c r="G86" i="1"/>
  <c r="G86" i="2" s="1"/>
  <c r="L86" i="2"/>
  <c r="L87" i="1"/>
  <c r="H87" i="2"/>
  <c r="I87" i="2"/>
  <c r="F87" i="1"/>
  <c r="F86" i="2"/>
  <c r="A88" i="1"/>
  <c r="A87" i="2"/>
  <c r="V88" i="1"/>
  <c r="W87" i="1"/>
  <c r="V87" i="2"/>
  <c r="U89" i="1"/>
  <c r="U88" i="2"/>
  <c r="M87" i="1" l="1"/>
  <c r="M87" i="2" s="1"/>
  <c r="J88" i="1"/>
  <c r="J88" i="2" s="1"/>
  <c r="K88" i="1"/>
  <c r="K88" i="2" s="1"/>
  <c r="G87" i="1"/>
  <c r="G87" i="2" s="1"/>
  <c r="L87" i="2"/>
  <c r="I88" i="2"/>
  <c r="I89" i="1"/>
  <c r="H89" i="1"/>
  <c r="L88" i="1"/>
  <c r="H88" i="2"/>
  <c r="A89" i="1"/>
  <c r="A88" i="2"/>
  <c r="F88" i="1"/>
  <c r="F87" i="2"/>
  <c r="U90" i="1"/>
  <c r="U89" i="2"/>
  <c r="W88" i="1"/>
  <c r="M88" i="1" s="1"/>
  <c r="M88" i="2" s="1"/>
  <c r="V89" i="1"/>
  <c r="V88" i="2"/>
  <c r="I89" i="2" l="1"/>
  <c r="K89" i="1"/>
  <c r="K89" i="2" s="1"/>
  <c r="J89" i="1"/>
  <c r="J89" i="2" s="1"/>
  <c r="H90" i="1"/>
  <c r="I90" i="1"/>
  <c r="G88" i="1"/>
  <c r="G88" i="2" s="1"/>
  <c r="L88" i="2"/>
  <c r="H89" i="2"/>
  <c r="L89" i="1"/>
  <c r="F89" i="1"/>
  <c r="F88" i="2"/>
  <c r="A90" i="1"/>
  <c r="A89" i="2"/>
  <c r="V90" i="1"/>
  <c r="W89" i="1"/>
  <c r="V89" i="2"/>
  <c r="U91" i="1"/>
  <c r="U90" i="2"/>
  <c r="H91" i="1" l="1"/>
  <c r="I91" i="1"/>
  <c r="H90" i="2"/>
  <c r="K90" i="1"/>
  <c r="K90" i="2" s="1"/>
  <c r="J90" i="1"/>
  <c r="J90" i="2" s="1"/>
  <c r="L89" i="2"/>
  <c r="I90" i="2"/>
  <c r="M89" i="1"/>
  <c r="M89" i="2" s="1"/>
  <c r="A91" i="1"/>
  <c r="A90" i="2"/>
  <c r="F90" i="1"/>
  <c r="F89" i="2"/>
  <c r="U92" i="1"/>
  <c r="U91" i="2"/>
  <c r="W90" i="1"/>
  <c r="M90" i="1" s="1"/>
  <c r="M90" i="2" s="1"/>
  <c r="V91" i="1"/>
  <c r="V90" i="2"/>
  <c r="J91" i="1" l="1"/>
  <c r="J91" i="2" s="1"/>
  <c r="K91" i="1"/>
  <c r="K91" i="2" s="1"/>
  <c r="H92" i="1"/>
  <c r="I92" i="1"/>
  <c r="G89" i="1"/>
  <c r="G89" i="2" s="1"/>
  <c r="I91" i="2"/>
  <c r="L90" i="1"/>
  <c r="H91" i="2"/>
  <c r="L91" i="1"/>
  <c r="F91" i="1"/>
  <c r="F90" i="2"/>
  <c r="A92" i="1"/>
  <c r="A91" i="2"/>
  <c r="V92" i="1"/>
  <c r="W91" i="1"/>
  <c r="M91" i="1" s="1"/>
  <c r="M91" i="2" s="1"/>
  <c r="V91" i="2"/>
  <c r="U93" i="1"/>
  <c r="U92" i="2"/>
  <c r="G90" i="1" l="1"/>
  <c r="G90" i="2" s="1"/>
  <c r="L90" i="2"/>
  <c r="K92" i="1"/>
  <c r="K92" i="2" s="1"/>
  <c r="J92" i="1"/>
  <c r="J92" i="2" s="1"/>
  <c r="H92" i="2"/>
  <c r="H93" i="1"/>
  <c r="I93" i="1"/>
  <c r="G91" i="1"/>
  <c r="G91" i="2" s="1"/>
  <c r="L91" i="2"/>
  <c r="I92" i="2"/>
  <c r="A93" i="1"/>
  <c r="A92" i="2"/>
  <c r="F92" i="1"/>
  <c r="F91" i="2"/>
  <c r="U94" i="1"/>
  <c r="U93" i="2"/>
  <c r="W92" i="1"/>
  <c r="M92" i="1" s="1"/>
  <c r="M92" i="2" s="1"/>
  <c r="V93" i="1"/>
  <c r="V92" i="2"/>
  <c r="L92" i="1" l="1"/>
  <c r="L92" i="2" s="1"/>
  <c r="K93" i="1"/>
  <c r="K93" i="2" s="1"/>
  <c r="J93" i="1"/>
  <c r="J93" i="2" s="1"/>
  <c r="I94" i="1"/>
  <c r="H94" i="1"/>
  <c r="I93" i="2"/>
  <c r="H93" i="2"/>
  <c r="F93" i="1"/>
  <c r="F92" i="2"/>
  <c r="A94" i="1"/>
  <c r="A93" i="2"/>
  <c r="W93" i="1"/>
  <c r="M93" i="1" s="1"/>
  <c r="M93" i="2" s="1"/>
  <c r="V94" i="1"/>
  <c r="V93" i="2"/>
  <c r="U95" i="1"/>
  <c r="U94" i="2"/>
  <c r="L93" i="1" l="1"/>
  <c r="G92" i="1"/>
  <c r="G92" i="2" s="1"/>
  <c r="G93" i="1"/>
  <c r="G93" i="2" s="1"/>
  <c r="L93" i="2"/>
  <c r="I95" i="1"/>
  <c r="H95" i="1"/>
  <c r="J94" i="1"/>
  <c r="J94" i="2" s="1"/>
  <c r="K94" i="1"/>
  <c r="K94" i="2" s="1"/>
  <c r="L94" i="1"/>
  <c r="H94" i="2"/>
  <c r="I94" i="2"/>
  <c r="A95" i="1"/>
  <c r="A94" i="2"/>
  <c r="F94" i="1"/>
  <c r="F93" i="2"/>
  <c r="U96" i="1"/>
  <c r="U95" i="2"/>
  <c r="V95" i="1"/>
  <c r="W94" i="1"/>
  <c r="V94" i="2"/>
  <c r="J95" i="1" l="1"/>
  <c r="J95" i="2" s="1"/>
  <c r="K95" i="1"/>
  <c r="K95" i="2" s="1"/>
  <c r="H96" i="1"/>
  <c r="I96" i="1"/>
  <c r="M94" i="1"/>
  <c r="M94" i="2" s="1"/>
  <c r="L94" i="2"/>
  <c r="H95" i="2"/>
  <c r="I95" i="2"/>
  <c r="F95" i="1"/>
  <c r="F94" i="2"/>
  <c r="A96" i="1"/>
  <c r="A95" i="2"/>
  <c r="V96" i="1"/>
  <c r="W95" i="1"/>
  <c r="M95" i="1" s="1"/>
  <c r="M95" i="2" s="1"/>
  <c r="V95" i="2"/>
  <c r="U97" i="1"/>
  <c r="U96" i="2"/>
  <c r="G94" i="1" l="1"/>
  <c r="G94" i="2" s="1"/>
  <c r="L95" i="1"/>
  <c r="G95" i="1" s="1"/>
  <c r="G95" i="2" s="1"/>
  <c r="H97" i="1"/>
  <c r="I97" i="1"/>
  <c r="J96" i="1"/>
  <c r="J96" i="2" s="1"/>
  <c r="K96" i="1"/>
  <c r="K96" i="2" s="1"/>
  <c r="I96" i="2"/>
  <c r="H96" i="2"/>
  <c r="A97" i="1"/>
  <c r="A96" i="2"/>
  <c r="F96" i="1"/>
  <c r="F95" i="2"/>
  <c r="U98" i="1"/>
  <c r="U97" i="2"/>
  <c r="W96" i="1"/>
  <c r="M96" i="1" s="1"/>
  <c r="M96" i="2" s="1"/>
  <c r="V97" i="1"/>
  <c r="V96" i="2"/>
  <c r="L95" i="2" l="1"/>
  <c r="L96" i="1"/>
  <c r="L96" i="2" s="1"/>
  <c r="J97" i="1"/>
  <c r="J97" i="2" s="1"/>
  <c r="K97" i="1"/>
  <c r="K97" i="2" s="1"/>
  <c r="G96" i="1"/>
  <c r="G96" i="2" s="1"/>
  <c r="I97" i="2"/>
  <c r="H98" i="1"/>
  <c r="I98" i="1"/>
  <c r="H97" i="2"/>
  <c r="L97" i="1"/>
  <c r="F97" i="1"/>
  <c r="F96" i="2"/>
  <c r="A98" i="1"/>
  <c r="A97" i="2"/>
  <c r="W97" i="1"/>
  <c r="M97" i="1" s="1"/>
  <c r="M97" i="2" s="1"/>
  <c r="V98" i="1"/>
  <c r="V97" i="2"/>
  <c r="U99" i="1"/>
  <c r="U98" i="2"/>
  <c r="J98" i="1" l="1"/>
  <c r="J98" i="2" s="1"/>
  <c r="K98" i="1"/>
  <c r="K98" i="2" s="1"/>
  <c r="G97" i="1"/>
  <c r="G97" i="2" s="1"/>
  <c r="L97" i="2"/>
  <c r="L98" i="1"/>
  <c r="H98" i="2"/>
  <c r="I99" i="1"/>
  <c r="H99" i="1"/>
  <c r="I98" i="2"/>
  <c r="A99" i="1"/>
  <c r="A98" i="2"/>
  <c r="F98" i="1"/>
  <c r="F97" i="2"/>
  <c r="U99" i="2"/>
  <c r="U100" i="1"/>
  <c r="W98" i="1"/>
  <c r="M98" i="1" s="1"/>
  <c r="M98" i="2" s="1"/>
  <c r="V99" i="1"/>
  <c r="V98" i="2"/>
  <c r="K99" i="1" l="1"/>
  <c r="K99" i="2" s="1"/>
  <c r="J99" i="1"/>
  <c r="J99" i="2" s="1"/>
  <c r="H100" i="1"/>
  <c r="I100" i="1"/>
  <c r="I99" i="2"/>
  <c r="L99" i="1"/>
  <c r="H99" i="2"/>
  <c r="G98" i="1"/>
  <c r="G98" i="2" s="1"/>
  <c r="L98" i="2"/>
  <c r="F99" i="1"/>
  <c r="F98" i="2"/>
  <c r="A100" i="1"/>
  <c r="A99" i="2"/>
  <c r="V99" i="2"/>
  <c r="W99" i="1"/>
  <c r="M99" i="1" s="1"/>
  <c r="M99" i="2" s="1"/>
  <c r="V100" i="1"/>
  <c r="U100" i="2"/>
  <c r="U101" i="1"/>
  <c r="I101" i="1" l="1"/>
  <c r="H101" i="1"/>
  <c r="J100" i="1"/>
  <c r="J100" i="2" s="1"/>
  <c r="K100" i="1"/>
  <c r="K100" i="2" s="1"/>
  <c r="G99" i="1"/>
  <c r="G99" i="2" s="1"/>
  <c r="L99" i="2"/>
  <c r="I100" i="2"/>
  <c r="L100" i="1"/>
  <c r="H100" i="2"/>
  <c r="A101" i="1"/>
  <c r="A100" i="2"/>
  <c r="F100" i="1"/>
  <c r="F99" i="2"/>
  <c r="V101" i="1"/>
  <c r="V100" i="2"/>
  <c r="W100" i="1"/>
  <c r="M100" i="1" s="1"/>
  <c r="M100" i="2" s="1"/>
  <c r="U102" i="1"/>
  <c r="U101" i="2"/>
  <c r="K101" i="1" l="1"/>
  <c r="K101" i="2" s="1"/>
  <c r="J101" i="1"/>
  <c r="J101" i="2" s="1"/>
  <c r="I102" i="1"/>
  <c r="H102" i="1"/>
  <c r="G100" i="1"/>
  <c r="G100" i="2" s="1"/>
  <c r="L100" i="2"/>
  <c r="H101" i="2"/>
  <c r="I101" i="2"/>
  <c r="F101" i="1"/>
  <c r="F100" i="2"/>
  <c r="A102" i="1"/>
  <c r="A101" i="2"/>
  <c r="U103" i="1"/>
  <c r="U102" i="2"/>
  <c r="W101" i="1"/>
  <c r="M101" i="1" s="1"/>
  <c r="M101" i="2" s="1"/>
  <c r="V102" i="1"/>
  <c r="V101" i="2"/>
  <c r="L101" i="1" l="1"/>
  <c r="H103" i="1"/>
  <c r="I103" i="1"/>
  <c r="J102" i="1"/>
  <c r="J102" i="2" s="1"/>
  <c r="K102" i="1"/>
  <c r="K102" i="2" s="1"/>
  <c r="G101" i="1"/>
  <c r="G101" i="2" s="1"/>
  <c r="L101" i="2"/>
  <c r="L102" i="1"/>
  <c r="H102" i="2"/>
  <c r="I102" i="2"/>
  <c r="A103" i="1"/>
  <c r="A102" i="2"/>
  <c r="F102" i="1"/>
  <c r="F101" i="2"/>
  <c r="W102" i="1"/>
  <c r="M102" i="1" s="1"/>
  <c r="M102" i="2" s="1"/>
  <c r="V103" i="1"/>
  <c r="V102" i="2"/>
  <c r="U104" i="1"/>
  <c r="U103" i="2"/>
  <c r="K103" i="1" l="1"/>
  <c r="K103" i="2" s="1"/>
  <c r="J103" i="1"/>
  <c r="J103" i="2" s="1"/>
  <c r="G102" i="1"/>
  <c r="G102" i="2" s="1"/>
  <c r="L102" i="2"/>
  <c r="I104" i="1"/>
  <c r="H104" i="1"/>
  <c r="I103" i="2"/>
  <c r="L103" i="1"/>
  <c r="H103" i="2"/>
  <c r="F103" i="1"/>
  <c r="F102" i="2"/>
  <c r="A104" i="1"/>
  <c r="A103" i="2"/>
  <c r="U104" i="2"/>
  <c r="U105" i="1"/>
  <c r="W103" i="1"/>
  <c r="V103" i="2"/>
  <c r="V104" i="1"/>
  <c r="M103" i="1" l="1"/>
  <c r="M103" i="2" s="1"/>
  <c r="K104" i="1"/>
  <c r="K104" i="2" s="1"/>
  <c r="J104" i="1"/>
  <c r="J104" i="2" s="1"/>
  <c r="H105" i="1"/>
  <c r="I105" i="1"/>
  <c r="G103" i="1"/>
  <c r="G103" i="2" s="1"/>
  <c r="L103" i="2"/>
  <c r="L104" i="1"/>
  <c r="H104" i="2"/>
  <c r="I104" i="2"/>
  <c r="A105" i="1"/>
  <c r="A104" i="2"/>
  <c r="F104" i="1"/>
  <c r="F103" i="2"/>
  <c r="V104" i="2"/>
  <c r="V105" i="1"/>
  <c r="W104" i="1"/>
  <c r="M104" i="1" s="1"/>
  <c r="M104" i="2" s="1"/>
  <c r="U106" i="1"/>
  <c r="U105" i="2"/>
  <c r="I106" i="1" l="1"/>
  <c r="H106" i="1"/>
  <c r="J105" i="1"/>
  <c r="J105" i="2" s="1"/>
  <c r="K105" i="1"/>
  <c r="K105" i="2" s="1"/>
  <c r="L105" i="1"/>
  <c r="H105" i="2"/>
  <c r="L104" i="2"/>
  <c r="G104" i="1"/>
  <c r="G104" i="2" s="1"/>
  <c r="I105" i="2"/>
  <c r="F105" i="1"/>
  <c r="F104" i="2"/>
  <c r="A106" i="1"/>
  <c r="A105" i="2"/>
  <c r="U107" i="1"/>
  <c r="U106" i="2"/>
  <c r="W105" i="1"/>
  <c r="M105" i="1" s="1"/>
  <c r="M105" i="2" s="1"/>
  <c r="V106" i="1"/>
  <c r="V105" i="2"/>
  <c r="K106" i="1" l="1"/>
  <c r="K106" i="2" s="1"/>
  <c r="J106" i="1"/>
  <c r="J106" i="2" s="1"/>
  <c r="I107" i="1"/>
  <c r="H107" i="1"/>
  <c r="G105" i="1"/>
  <c r="G105" i="2" s="1"/>
  <c r="L105" i="2"/>
  <c r="L106" i="1"/>
  <c r="H106" i="2"/>
  <c r="I106" i="2"/>
  <c r="A107" i="1"/>
  <c r="A106" i="2"/>
  <c r="F106" i="1"/>
  <c r="F105" i="2"/>
  <c r="W106" i="1"/>
  <c r="M106" i="1" s="1"/>
  <c r="M106" i="2" s="1"/>
  <c r="V107" i="1"/>
  <c r="V106" i="2"/>
  <c r="U107" i="2"/>
  <c r="U108" i="1"/>
  <c r="J107" i="1" l="1"/>
  <c r="J107" i="2" s="1"/>
  <c r="K107" i="1"/>
  <c r="K107" i="2" s="1"/>
  <c r="I107" i="2"/>
  <c r="H108" i="1"/>
  <c r="I108" i="1"/>
  <c r="G106" i="1"/>
  <c r="G106" i="2" s="1"/>
  <c r="L106" i="2"/>
  <c r="H107" i="2"/>
  <c r="F107" i="1"/>
  <c r="F106" i="2"/>
  <c r="A108" i="1"/>
  <c r="A107" i="2"/>
  <c r="U109" i="1"/>
  <c r="U108" i="2"/>
  <c r="V107" i="2"/>
  <c r="V108" i="1"/>
  <c r="W107" i="1"/>
  <c r="M107" i="1" s="1"/>
  <c r="M107" i="2" s="1"/>
  <c r="L107" i="1" l="1"/>
  <c r="L107" i="2" s="1"/>
  <c r="H109" i="1"/>
  <c r="I109" i="1"/>
  <c r="J108" i="1"/>
  <c r="J108" i="2" s="1"/>
  <c r="K108" i="1"/>
  <c r="K108" i="2" s="1"/>
  <c r="G107" i="1"/>
  <c r="G107" i="2" s="1"/>
  <c r="I108" i="2"/>
  <c r="L108" i="1"/>
  <c r="H108" i="2"/>
  <c r="A109" i="1"/>
  <c r="A108" i="2"/>
  <c r="F108" i="1"/>
  <c r="F107" i="2"/>
  <c r="V109" i="1"/>
  <c r="V108" i="2"/>
  <c r="W108" i="1"/>
  <c r="M108" i="1" s="1"/>
  <c r="M108" i="2" s="1"/>
  <c r="U110" i="1"/>
  <c r="U109" i="2"/>
  <c r="H110" i="1" l="1"/>
  <c r="I110" i="1"/>
  <c r="K109" i="1"/>
  <c r="K109" i="2" s="1"/>
  <c r="J109" i="1"/>
  <c r="J109" i="2" s="1"/>
  <c r="G108" i="1"/>
  <c r="G108" i="2" s="1"/>
  <c r="L108" i="2"/>
  <c r="I109" i="2"/>
  <c r="H109" i="2"/>
  <c r="F109" i="1"/>
  <c r="F108" i="2"/>
  <c r="A110" i="1"/>
  <c r="A109" i="2"/>
  <c r="U110" i="2"/>
  <c r="U111" i="1"/>
  <c r="W109" i="1"/>
  <c r="M109" i="1" s="1"/>
  <c r="M109" i="2" s="1"/>
  <c r="V110" i="1"/>
  <c r="V109" i="2"/>
  <c r="L109" i="1" l="1"/>
  <c r="L109" i="2" s="1"/>
  <c r="I111" i="1"/>
  <c r="H111" i="1"/>
  <c r="K110" i="1"/>
  <c r="K110" i="2" s="1"/>
  <c r="J110" i="1"/>
  <c r="J110" i="2" s="1"/>
  <c r="I110" i="2"/>
  <c r="H110" i="2"/>
  <c r="A111" i="1"/>
  <c r="A110" i="2"/>
  <c r="F110" i="1"/>
  <c r="F109" i="2"/>
  <c r="V110" i="2"/>
  <c r="V111" i="1"/>
  <c r="W110" i="1"/>
  <c r="U112" i="1"/>
  <c r="U111" i="2"/>
  <c r="G109" i="1" l="1"/>
  <c r="G109" i="2" s="1"/>
  <c r="L110" i="1"/>
  <c r="H112" i="1"/>
  <c r="I112" i="1"/>
  <c r="K111" i="1"/>
  <c r="K111" i="2" s="1"/>
  <c r="J111" i="1"/>
  <c r="J111" i="2" s="1"/>
  <c r="L110" i="2"/>
  <c r="M110" i="1"/>
  <c r="M110" i="2" s="1"/>
  <c r="H111" i="2"/>
  <c r="L111" i="1"/>
  <c r="I111" i="2"/>
  <c r="F111" i="1"/>
  <c r="F110" i="2"/>
  <c r="A112" i="1"/>
  <c r="A111" i="2"/>
  <c r="U113" i="1"/>
  <c r="U112" i="2"/>
  <c r="V112" i="1"/>
  <c r="V111" i="2"/>
  <c r="W111" i="1"/>
  <c r="M111" i="1" s="1"/>
  <c r="M111" i="2" s="1"/>
  <c r="H113" i="1" l="1"/>
  <c r="I113" i="1"/>
  <c r="J112" i="1"/>
  <c r="J112" i="2" s="1"/>
  <c r="K112" i="1"/>
  <c r="K112" i="2" s="1"/>
  <c r="G111" i="1"/>
  <c r="G111" i="2" s="1"/>
  <c r="L111" i="2"/>
  <c r="G110" i="1"/>
  <c r="G110" i="2" s="1"/>
  <c r="I112" i="2"/>
  <c r="L112" i="1"/>
  <c r="H112" i="2"/>
  <c r="A113" i="1"/>
  <c r="A112" i="2"/>
  <c r="F112" i="1"/>
  <c r="F111" i="2"/>
  <c r="W112" i="1"/>
  <c r="M112" i="1" s="1"/>
  <c r="M112" i="2" s="1"/>
  <c r="V113" i="1"/>
  <c r="V112" i="2"/>
  <c r="U113" i="2"/>
  <c r="U114" i="1"/>
  <c r="H114" i="1" l="1"/>
  <c r="I114" i="1"/>
  <c r="G112" i="1"/>
  <c r="G112" i="2" s="1"/>
  <c r="L112" i="2"/>
  <c r="J113" i="1"/>
  <c r="J113" i="2" s="1"/>
  <c r="K113" i="1"/>
  <c r="K113" i="2" s="1"/>
  <c r="I113" i="2"/>
  <c r="L113" i="1"/>
  <c r="H113" i="2"/>
  <c r="F113" i="1"/>
  <c r="F112" i="2"/>
  <c r="A114" i="1"/>
  <c r="A113" i="2"/>
  <c r="U115" i="1"/>
  <c r="U114" i="2"/>
  <c r="W113" i="1"/>
  <c r="V113" i="2"/>
  <c r="V114" i="1"/>
  <c r="M113" i="1" l="1"/>
  <c r="M113" i="2" s="1"/>
  <c r="J114" i="1"/>
  <c r="J114" i="2" s="1"/>
  <c r="K114" i="1"/>
  <c r="K114" i="2" s="1"/>
  <c r="H115" i="1"/>
  <c r="I115" i="1"/>
  <c r="L113" i="2"/>
  <c r="G113" i="1"/>
  <c r="G113" i="2" s="1"/>
  <c r="I114" i="2"/>
  <c r="H114" i="2"/>
  <c r="A115" i="1"/>
  <c r="A114" i="2"/>
  <c r="F114" i="1"/>
  <c r="F113" i="2"/>
  <c r="W114" i="1"/>
  <c r="V115" i="1"/>
  <c r="V114" i="2"/>
  <c r="U115" i="2"/>
  <c r="U116" i="1"/>
  <c r="M114" i="1" l="1"/>
  <c r="M114" i="2" s="1"/>
  <c r="L114" i="1"/>
  <c r="J115" i="1"/>
  <c r="J115" i="2" s="1"/>
  <c r="K115" i="1"/>
  <c r="K115" i="2" s="1"/>
  <c r="H115" i="2"/>
  <c r="H116" i="1"/>
  <c r="I116" i="1"/>
  <c r="I115" i="2"/>
  <c r="F115" i="1"/>
  <c r="F114" i="2"/>
  <c r="A116" i="1"/>
  <c r="A115" i="2"/>
  <c r="U116" i="2"/>
  <c r="U117" i="1"/>
  <c r="V115" i="2"/>
  <c r="W115" i="1"/>
  <c r="V116" i="1"/>
  <c r="G114" i="1" l="1"/>
  <c r="G114" i="2" s="1"/>
  <c r="M115" i="1"/>
  <c r="M115" i="2" s="1"/>
  <c r="L114" i="2"/>
  <c r="L115" i="1"/>
  <c r="I116" i="2"/>
  <c r="K116" i="1"/>
  <c r="K116" i="2" s="1"/>
  <c r="J116" i="1"/>
  <c r="J116" i="2" s="1"/>
  <c r="I117" i="1"/>
  <c r="H117" i="1"/>
  <c r="H116" i="2"/>
  <c r="L115" i="2"/>
  <c r="G115" i="1"/>
  <c r="G115" i="2" s="1"/>
  <c r="A117" i="1"/>
  <c r="A116" i="2"/>
  <c r="F116" i="1"/>
  <c r="F115" i="2"/>
  <c r="V116" i="2"/>
  <c r="V117" i="1"/>
  <c r="W116" i="1"/>
  <c r="U117" i="2"/>
  <c r="U118" i="1"/>
  <c r="L116" i="1" l="1"/>
  <c r="L116" i="2" s="1"/>
  <c r="J117" i="1"/>
  <c r="J117" i="2" s="1"/>
  <c r="K117" i="1"/>
  <c r="K117" i="2" s="1"/>
  <c r="H118" i="1"/>
  <c r="I118" i="1"/>
  <c r="H117" i="2"/>
  <c r="I117" i="2"/>
  <c r="M116" i="1"/>
  <c r="M116" i="2" s="1"/>
  <c r="F117" i="1"/>
  <c r="F116" i="2"/>
  <c r="A118" i="1"/>
  <c r="A117" i="2"/>
  <c r="U119" i="1"/>
  <c r="U118" i="2"/>
  <c r="V117" i="2"/>
  <c r="W117" i="1"/>
  <c r="V118" i="1"/>
  <c r="M117" i="1" l="1"/>
  <c r="M117" i="2" s="1"/>
  <c r="L117" i="1"/>
  <c r="L117" i="2" s="1"/>
  <c r="J118" i="1"/>
  <c r="J118" i="2" s="1"/>
  <c r="K118" i="1"/>
  <c r="K118" i="2" s="1"/>
  <c r="H119" i="1"/>
  <c r="I119" i="1"/>
  <c r="L118" i="1"/>
  <c r="H118" i="2"/>
  <c r="G117" i="1"/>
  <c r="G117" i="2" s="1"/>
  <c r="G116" i="1"/>
  <c r="G116" i="2" s="1"/>
  <c r="I118" i="2"/>
  <c r="A119" i="1"/>
  <c r="A118" i="2"/>
  <c r="F118" i="1"/>
  <c r="F117" i="2"/>
  <c r="V119" i="1"/>
  <c r="W118" i="1"/>
  <c r="M118" i="1" s="1"/>
  <c r="M118" i="2" s="1"/>
  <c r="V118" i="2"/>
  <c r="U120" i="1"/>
  <c r="U119" i="2"/>
  <c r="J119" i="1" l="1"/>
  <c r="J119" i="2" s="1"/>
  <c r="K119" i="1"/>
  <c r="K119" i="2" s="1"/>
  <c r="H120" i="1"/>
  <c r="I120" i="1"/>
  <c r="H119" i="2"/>
  <c r="G118" i="1"/>
  <c r="G118" i="2" s="1"/>
  <c r="L118" i="2"/>
  <c r="I119" i="2"/>
  <c r="F119" i="1"/>
  <c r="F118" i="2"/>
  <c r="A120" i="1"/>
  <c r="A119" i="2"/>
  <c r="U120" i="2"/>
  <c r="U121" i="1"/>
  <c r="V120" i="1"/>
  <c r="W119" i="1"/>
  <c r="V119" i="2"/>
  <c r="M119" i="1" l="1"/>
  <c r="M119" i="2" s="1"/>
  <c r="L119" i="1"/>
  <c r="G119" i="1" s="1"/>
  <c r="G119" i="2" s="1"/>
  <c r="H121" i="1"/>
  <c r="I121" i="1"/>
  <c r="J120" i="1"/>
  <c r="J120" i="2" s="1"/>
  <c r="K120" i="1"/>
  <c r="K120" i="2" s="1"/>
  <c r="L119" i="2"/>
  <c r="I120" i="2"/>
  <c r="H120" i="2"/>
  <c r="L120" i="1"/>
  <c r="A121" i="1"/>
  <c r="A120" i="2"/>
  <c r="F120" i="1"/>
  <c r="F119" i="2"/>
  <c r="V120" i="2"/>
  <c r="W120" i="1"/>
  <c r="M120" i="1" s="1"/>
  <c r="M120" i="2" s="1"/>
  <c r="V121" i="1"/>
  <c r="U121" i="2"/>
  <c r="U122" i="1"/>
  <c r="H122" i="1" l="1"/>
  <c r="I122" i="1"/>
  <c r="G120" i="1"/>
  <c r="G120" i="2" s="1"/>
  <c r="L120" i="2"/>
  <c r="J121" i="1"/>
  <c r="J121" i="2" s="1"/>
  <c r="K121" i="1"/>
  <c r="K121" i="2" s="1"/>
  <c r="I121" i="2"/>
  <c r="H121" i="2"/>
  <c r="L121" i="1"/>
  <c r="F121" i="1"/>
  <c r="F120" i="2"/>
  <c r="A122" i="1"/>
  <c r="A121" i="2"/>
  <c r="U123" i="1"/>
  <c r="U122" i="2"/>
  <c r="V121" i="2"/>
  <c r="V122" i="1"/>
  <c r="W121" i="1"/>
  <c r="M121" i="1" s="1"/>
  <c r="M121" i="2" s="1"/>
  <c r="H123" i="1" l="1"/>
  <c r="I123" i="1"/>
  <c r="K122" i="1"/>
  <c r="K122" i="2" s="1"/>
  <c r="J122" i="1"/>
  <c r="J122" i="2" s="1"/>
  <c r="G121" i="1"/>
  <c r="G121" i="2" s="1"/>
  <c r="L121" i="2"/>
  <c r="I122" i="2"/>
  <c r="H122" i="2"/>
  <c r="L122" i="1"/>
  <c r="A123" i="1"/>
  <c r="A122" i="2"/>
  <c r="F122" i="1"/>
  <c r="F121" i="2"/>
  <c r="W122" i="1"/>
  <c r="M122" i="1" s="1"/>
  <c r="M122" i="2" s="1"/>
  <c r="V123" i="1"/>
  <c r="V122" i="2"/>
  <c r="U124" i="1"/>
  <c r="U123" i="2"/>
  <c r="K123" i="1" l="1"/>
  <c r="K123" i="2" s="1"/>
  <c r="J123" i="1"/>
  <c r="J123" i="2" s="1"/>
  <c r="I124" i="1"/>
  <c r="H124" i="1"/>
  <c r="G122" i="1"/>
  <c r="G122" i="2" s="1"/>
  <c r="L122" i="2"/>
  <c r="I123" i="2"/>
  <c r="H123" i="2"/>
  <c r="F123" i="1"/>
  <c r="F122" i="2"/>
  <c r="A124" i="1"/>
  <c r="A123" i="2"/>
  <c r="U124" i="2"/>
  <c r="U125" i="1"/>
  <c r="W123" i="1"/>
  <c r="M123" i="1" s="1"/>
  <c r="M123" i="2" s="1"/>
  <c r="V124" i="1"/>
  <c r="V123" i="2"/>
  <c r="L123" i="1" l="1"/>
  <c r="L123" i="2" s="1"/>
  <c r="H125" i="1"/>
  <c r="I125" i="1"/>
  <c r="I124" i="2"/>
  <c r="J124" i="1"/>
  <c r="J124" i="2" s="1"/>
  <c r="K124" i="1"/>
  <c r="K124" i="2" s="1"/>
  <c r="G123" i="1"/>
  <c r="G123" i="2" s="1"/>
  <c r="L124" i="1"/>
  <c r="H124" i="2"/>
  <c r="A125" i="1"/>
  <c r="A124" i="2"/>
  <c r="F124" i="1"/>
  <c r="F123" i="2"/>
  <c r="V124" i="2"/>
  <c r="W124" i="1"/>
  <c r="V125" i="1"/>
  <c r="U125" i="2"/>
  <c r="U126" i="1"/>
  <c r="K125" i="1" l="1"/>
  <c r="K125" i="2" s="1"/>
  <c r="J125" i="1"/>
  <c r="J125" i="2" s="1"/>
  <c r="I126" i="1"/>
  <c r="H126" i="1"/>
  <c r="L124" i="2"/>
  <c r="M124" i="1"/>
  <c r="M124" i="2" s="1"/>
  <c r="I125" i="2"/>
  <c r="H125" i="2"/>
  <c r="F125" i="1"/>
  <c r="F124" i="2"/>
  <c r="A126" i="1"/>
  <c r="A125" i="2"/>
  <c r="U126" i="2"/>
  <c r="U127" i="1"/>
  <c r="V125" i="2"/>
  <c r="V126" i="1"/>
  <c r="W125" i="1"/>
  <c r="M125" i="1" l="1"/>
  <c r="M125" i="2" s="1"/>
  <c r="L125" i="1"/>
  <c r="L125" i="2" s="1"/>
  <c r="H127" i="1"/>
  <c r="I127" i="1"/>
  <c r="G125" i="1"/>
  <c r="G125" i="2" s="1"/>
  <c r="I126" i="2"/>
  <c r="J126" i="1"/>
  <c r="J126" i="2" s="1"/>
  <c r="K126" i="1"/>
  <c r="K126" i="2" s="1"/>
  <c r="G124" i="1"/>
  <c r="G124" i="2" s="1"/>
  <c r="L126" i="1"/>
  <c r="H126" i="2"/>
  <c r="A127" i="1"/>
  <c r="A126" i="2"/>
  <c r="F126" i="1"/>
  <c r="F125" i="2"/>
  <c r="V126" i="2"/>
  <c r="W126" i="1"/>
  <c r="V127" i="1"/>
  <c r="U128" i="1"/>
  <c r="U127" i="2"/>
  <c r="L126" i="2" l="1"/>
  <c r="K127" i="1"/>
  <c r="K127" i="2" s="1"/>
  <c r="J127" i="1"/>
  <c r="J127" i="2" s="1"/>
  <c r="M126" i="1"/>
  <c r="M126" i="2" s="1"/>
  <c r="H128" i="1"/>
  <c r="I128" i="1"/>
  <c r="I127" i="2"/>
  <c r="H127" i="2"/>
  <c r="L127" i="1"/>
  <c r="F127" i="1"/>
  <c r="F126" i="2"/>
  <c r="A128" i="1"/>
  <c r="A127" i="2"/>
  <c r="V128" i="1"/>
  <c r="V127" i="2"/>
  <c r="W127" i="1"/>
  <c r="M127" i="1" s="1"/>
  <c r="M127" i="2" s="1"/>
  <c r="U128" i="2"/>
  <c r="U129" i="1"/>
  <c r="H129" i="1" l="1"/>
  <c r="I129" i="1"/>
  <c r="G127" i="1"/>
  <c r="G127" i="2" s="1"/>
  <c r="L127" i="2"/>
  <c r="H128" i="2"/>
  <c r="K128" i="1"/>
  <c r="K128" i="2" s="1"/>
  <c r="J128" i="1"/>
  <c r="J128" i="2" s="1"/>
  <c r="I128" i="2"/>
  <c r="G126" i="1"/>
  <c r="G126" i="2" s="1"/>
  <c r="A129" i="1"/>
  <c r="A128" i="2"/>
  <c r="F128" i="1"/>
  <c r="F127" i="2"/>
  <c r="U130" i="1"/>
  <c r="U129" i="2"/>
  <c r="V129" i="1"/>
  <c r="V128" i="2"/>
  <c r="W128" i="1"/>
  <c r="M128" i="1" s="1"/>
  <c r="M128" i="2" s="1"/>
  <c r="K129" i="1" l="1"/>
  <c r="K129" i="2" s="1"/>
  <c r="J129" i="1"/>
  <c r="J129" i="2" s="1"/>
  <c r="I130" i="1"/>
  <c r="H130" i="1"/>
  <c r="L128" i="1"/>
  <c r="I129" i="2"/>
  <c r="H129" i="2"/>
  <c r="L129" i="1"/>
  <c r="F129" i="1"/>
  <c r="F128" i="2"/>
  <c r="A130" i="1"/>
  <c r="A129" i="2"/>
  <c r="V129" i="2"/>
  <c r="W129" i="1"/>
  <c r="M129" i="1" s="1"/>
  <c r="M129" i="2" s="1"/>
  <c r="V130" i="1"/>
  <c r="U131" i="1"/>
  <c r="U130" i="2"/>
  <c r="I131" i="1" l="1"/>
  <c r="H131" i="1"/>
  <c r="G129" i="1"/>
  <c r="G129" i="2" s="1"/>
  <c r="L129" i="2"/>
  <c r="J130" i="1"/>
  <c r="J130" i="2" s="1"/>
  <c r="K130" i="1"/>
  <c r="K130" i="2" s="1"/>
  <c r="G128" i="1"/>
  <c r="G128" i="2" s="1"/>
  <c r="L128" i="2"/>
  <c r="H130" i="2"/>
  <c r="L130" i="1"/>
  <c r="I130" i="2"/>
  <c r="A131" i="1"/>
  <c r="A130" i="2"/>
  <c r="F130" i="1"/>
  <c r="F129" i="2"/>
  <c r="W130" i="1"/>
  <c r="M130" i="1" s="1"/>
  <c r="M130" i="2" s="1"/>
  <c r="V131" i="1"/>
  <c r="V130" i="2"/>
  <c r="U132" i="1"/>
  <c r="U131" i="2"/>
  <c r="I132" i="1" l="1"/>
  <c r="H132" i="1"/>
  <c r="H131" i="2"/>
  <c r="K131" i="1"/>
  <c r="K131" i="2" s="1"/>
  <c r="J131" i="1"/>
  <c r="J131" i="2" s="1"/>
  <c r="G130" i="1"/>
  <c r="G130" i="2" s="1"/>
  <c r="L130" i="2"/>
  <c r="I131" i="2"/>
  <c r="F131" i="1"/>
  <c r="F130" i="2"/>
  <c r="A132" i="1"/>
  <c r="A131" i="2"/>
  <c r="U132" i="2"/>
  <c r="U133" i="1"/>
  <c r="V131" i="2"/>
  <c r="W131" i="1"/>
  <c r="M131" i="1" s="1"/>
  <c r="M131" i="2" s="1"/>
  <c r="V132" i="1"/>
  <c r="K132" i="1" l="1"/>
  <c r="K132" i="2" s="1"/>
  <c r="J132" i="1"/>
  <c r="J132" i="2" s="1"/>
  <c r="I133" i="1"/>
  <c r="H133" i="1"/>
  <c r="L131" i="1"/>
  <c r="H132" i="2"/>
  <c r="L132" i="1"/>
  <c r="I132" i="2"/>
  <c r="A133" i="1"/>
  <c r="A132" i="2"/>
  <c r="F132" i="1"/>
  <c r="F131" i="2"/>
  <c r="V133" i="1"/>
  <c r="V132" i="2"/>
  <c r="W132" i="1"/>
  <c r="U134" i="1"/>
  <c r="U133" i="2"/>
  <c r="M132" i="1" l="1"/>
  <c r="M132" i="2" s="1"/>
  <c r="K133" i="1"/>
  <c r="K133" i="2" s="1"/>
  <c r="J133" i="1"/>
  <c r="J133" i="2" s="1"/>
  <c r="I133" i="2"/>
  <c r="I134" i="1"/>
  <c r="H134" i="1"/>
  <c r="L132" i="2"/>
  <c r="G131" i="1"/>
  <c r="G131" i="2" s="1"/>
  <c r="L131" i="2"/>
  <c r="H133" i="2"/>
  <c r="F133" i="1"/>
  <c r="F132" i="2"/>
  <c r="A134" i="1"/>
  <c r="A133" i="2"/>
  <c r="U135" i="1"/>
  <c r="U134" i="2"/>
  <c r="W133" i="1"/>
  <c r="V134" i="1"/>
  <c r="V133" i="2"/>
  <c r="M133" i="1" l="1"/>
  <c r="M133" i="2" s="1"/>
  <c r="L133" i="1"/>
  <c r="G132" i="1"/>
  <c r="G132" i="2" s="1"/>
  <c r="K134" i="1"/>
  <c r="K134" i="2" s="1"/>
  <c r="J134" i="1"/>
  <c r="J134" i="2" s="1"/>
  <c r="I135" i="1"/>
  <c r="H135" i="1"/>
  <c r="G133" i="1"/>
  <c r="G133" i="2" s="1"/>
  <c r="L133" i="2"/>
  <c r="L134" i="1"/>
  <c r="H134" i="2"/>
  <c r="I134" i="2"/>
  <c r="A135" i="1"/>
  <c r="A134" i="2"/>
  <c r="F134" i="1"/>
  <c r="F133" i="2"/>
  <c r="W134" i="1"/>
  <c r="V135" i="1"/>
  <c r="V134" i="2"/>
  <c r="U136" i="1"/>
  <c r="U135" i="2"/>
  <c r="M134" i="1" l="1"/>
  <c r="M134" i="2" s="1"/>
  <c r="K135" i="1"/>
  <c r="K135" i="2" s="1"/>
  <c r="J135" i="1"/>
  <c r="J135" i="2" s="1"/>
  <c r="I135" i="2"/>
  <c r="H136" i="1"/>
  <c r="I136" i="1"/>
  <c r="L134" i="2"/>
  <c r="H135" i="2"/>
  <c r="F135" i="1"/>
  <c r="F134" i="2"/>
  <c r="A136" i="1"/>
  <c r="A135" i="2"/>
  <c r="U137" i="1"/>
  <c r="U136" i="2"/>
  <c r="W135" i="1"/>
  <c r="M135" i="1" s="1"/>
  <c r="M135" i="2" s="1"/>
  <c r="V136" i="1"/>
  <c r="V135" i="2"/>
  <c r="L135" i="1" l="1"/>
  <c r="G134" i="1"/>
  <c r="G134" i="2" s="1"/>
  <c r="J136" i="1"/>
  <c r="J136" i="2" s="1"/>
  <c r="K136" i="1"/>
  <c r="K136" i="2" s="1"/>
  <c r="I137" i="1"/>
  <c r="H137" i="1"/>
  <c r="G135" i="1"/>
  <c r="G135" i="2" s="1"/>
  <c r="L135" i="2"/>
  <c r="I136" i="2"/>
  <c r="L136" i="1"/>
  <c r="H136" i="2"/>
  <c r="A137" i="1"/>
  <c r="A136" i="2"/>
  <c r="F136" i="1"/>
  <c r="F135" i="2"/>
  <c r="W136" i="1"/>
  <c r="M136" i="1" s="1"/>
  <c r="M136" i="2" s="1"/>
  <c r="V137" i="1"/>
  <c r="V136" i="2"/>
  <c r="U138" i="1"/>
  <c r="U137" i="2"/>
  <c r="I137" i="2" l="1"/>
  <c r="I138" i="1"/>
  <c r="H138" i="1"/>
  <c r="J137" i="1"/>
  <c r="J137" i="2" s="1"/>
  <c r="K137" i="1"/>
  <c r="K137" i="2" s="1"/>
  <c r="G136" i="1"/>
  <c r="G136" i="2" s="1"/>
  <c r="L136" i="2"/>
  <c r="L137" i="1"/>
  <c r="H137" i="2"/>
  <c r="F137" i="1"/>
  <c r="F136" i="2"/>
  <c r="A138" i="1"/>
  <c r="A137" i="2"/>
  <c r="U139" i="1"/>
  <c r="U138" i="2"/>
  <c r="V138" i="1"/>
  <c r="W137" i="1"/>
  <c r="V137" i="2"/>
  <c r="H139" i="1" l="1"/>
  <c r="I139" i="1"/>
  <c r="L137" i="2"/>
  <c r="I138" i="2"/>
  <c r="K138" i="1"/>
  <c r="K138" i="2" s="1"/>
  <c r="J138" i="1"/>
  <c r="J138" i="2" s="1"/>
  <c r="H138" i="2"/>
  <c r="M137" i="1"/>
  <c r="M137" i="2" s="1"/>
  <c r="A139" i="1"/>
  <c r="A138" i="2"/>
  <c r="F138" i="1"/>
  <c r="F137" i="2"/>
  <c r="W138" i="1"/>
  <c r="V138" i="2"/>
  <c r="V139" i="1"/>
  <c r="U139" i="2"/>
  <c r="U140" i="1"/>
  <c r="H140" i="1" l="1"/>
  <c r="I140" i="1"/>
  <c r="M138" i="1"/>
  <c r="M138" i="2" s="1"/>
  <c r="J139" i="1"/>
  <c r="J139" i="2" s="1"/>
  <c r="K139" i="1"/>
  <c r="K139" i="2" s="1"/>
  <c r="L138" i="1"/>
  <c r="G137" i="1"/>
  <c r="G137" i="2" s="1"/>
  <c r="I139" i="2"/>
  <c r="L139" i="1"/>
  <c r="H139" i="2"/>
  <c r="F139" i="1"/>
  <c r="F138" i="2"/>
  <c r="A140" i="1"/>
  <c r="A139" i="2"/>
  <c r="U140" i="2"/>
  <c r="U141" i="1"/>
  <c r="V139" i="2"/>
  <c r="V140" i="1"/>
  <c r="W139" i="1"/>
  <c r="M139" i="1" s="1"/>
  <c r="M139" i="2" s="1"/>
  <c r="J140" i="1" l="1"/>
  <c r="J140" i="2" s="1"/>
  <c r="K140" i="1"/>
  <c r="K140" i="2" s="1"/>
  <c r="G138" i="1"/>
  <c r="G138" i="2" s="1"/>
  <c r="L138" i="2"/>
  <c r="H141" i="1"/>
  <c r="I141" i="1"/>
  <c r="G139" i="1"/>
  <c r="G139" i="2" s="1"/>
  <c r="L139" i="2"/>
  <c r="I140" i="2"/>
  <c r="H140" i="2"/>
  <c r="A141" i="1"/>
  <c r="A140" i="2"/>
  <c r="F140" i="1"/>
  <c r="F139" i="2"/>
  <c r="V140" i="2"/>
  <c r="W140" i="1"/>
  <c r="M140" i="1" s="1"/>
  <c r="M140" i="2" s="1"/>
  <c r="V141" i="1"/>
  <c r="U141" i="2"/>
  <c r="U142" i="1"/>
  <c r="L140" i="1" l="1"/>
  <c r="H142" i="1"/>
  <c r="I142" i="1"/>
  <c r="J141" i="1"/>
  <c r="J141" i="2" s="1"/>
  <c r="K141" i="1"/>
  <c r="K141" i="2" s="1"/>
  <c r="G140" i="1"/>
  <c r="G140" i="2" s="1"/>
  <c r="L140" i="2"/>
  <c r="H141" i="2"/>
  <c r="L141" i="1"/>
  <c r="I141" i="2"/>
  <c r="F141" i="1"/>
  <c r="F140" i="2"/>
  <c r="A142" i="1"/>
  <c r="A141" i="2"/>
  <c r="V141" i="2"/>
  <c r="W141" i="1"/>
  <c r="M141" i="1" s="1"/>
  <c r="M141" i="2" s="1"/>
  <c r="V142" i="1"/>
  <c r="U142" i="2"/>
  <c r="U143" i="1"/>
  <c r="H143" i="1" l="1"/>
  <c r="I143" i="1"/>
  <c r="G141" i="1"/>
  <c r="G141" i="2" s="1"/>
  <c r="L141" i="2"/>
  <c r="K142" i="1"/>
  <c r="K142" i="2" s="1"/>
  <c r="J142" i="1"/>
  <c r="J142" i="2" s="1"/>
  <c r="I142" i="2"/>
  <c r="H142" i="2"/>
  <c r="A143" i="1"/>
  <c r="A142" i="2"/>
  <c r="F142" i="1"/>
  <c r="F141" i="2"/>
  <c r="V142" i="2"/>
  <c r="W142" i="1"/>
  <c r="M142" i="1" s="1"/>
  <c r="M142" i="2" s="1"/>
  <c r="V143" i="1"/>
  <c r="U144" i="1"/>
  <c r="U143" i="2"/>
  <c r="L142" i="1" l="1"/>
  <c r="L142" i="2" s="1"/>
  <c r="K143" i="1"/>
  <c r="K143" i="2" s="1"/>
  <c r="J143" i="1"/>
  <c r="J143" i="2" s="1"/>
  <c r="I144" i="1"/>
  <c r="H144" i="1"/>
  <c r="I143" i="2"/>
  <c r="H143" i="2"/>
  <c r="F143" i="1"/>
  <c r="F142" i="2"/>
  <c r="A144" i="1"/>
  <c r="A143" i="2"/>
  <c r="V144" i="1"/>
  <c r="V143" i="2"/>
  <c r="W143" i="1"/>
  <c r="U145" i="1"/>
  <c r="U144" i="2"/>
  <c r="G142" i="1" l="1"/>
  <c r="G142" i="2" s="1"/>
  <c r="M143" i="1"/>
  <c r="M143" i="2" s="1"/>
  <c r="L143" i="1"/>
  <c r="K144" i="1"/>
  <c r="K144" i="2" s="1"/>
  <c r="J144" i="1"/>
  <c r="J144" i="2" s="1"/>
  <c r="I145" i="1"/>
  <c r="H145" i="1"/>
  <c r="H144" i="2"/>
  <c r="L144" i="1"/>
  <c r="I144" i="2"/>
  <c r="A145" i="1"/>
  <c r="A144" i="2"/>
  <c r="F144" i="1"/>
  <c r="F143" i="2"/>
  <c r="U146" i="1"/>
  <c r="U145" i="2"/>
  <c r="W144" i="1"/>
  <c r="M144" i="1" s="1"/>
  <c r="M144" i="2" s="1"/>
  <c r="V145" i="1"/>
  <c r="V144" i="2"/>
  <c r="G143" i="1" l="1"/>
  <c r="G143" i="2" s="1"/>
  <c r="L143" i="2"/>
  <c r="I146" i="1"/>
  <c r="H146" i="1"/>
  <c r="K145" i="1"/>
  <c r="K145" i="2" s="1"/>
  <c r="J145" i="1"/>
  <c r="J145" i="2" s="1"/>
  <c r="G144" i="1"/>
  <c r="G144" i="2" s="1"/>
  <c r="L144" i="2"/>
  <c r="H145" i="2"/>
  <c r="I145" i="2"/>
  <c r="F145" i="1"/>
  <c r="F144" i="2"/>
  <c r="A146" i="1"/>
  <c r="A145" i="2"/>
  <c r="W145" i="1"/>
  <c r="M145" i="1" s="1"/>
  <c r="M145" i="2" s="1"/>
  <c r="V146" i="1"/>
  <c r="V145" i="2"/>
  <c r="U147" i="1"/>
  <c r="U146" i="2"/>
  <c r="L145" i="1" l="1"/>
  <c r="I147" i="1"/>
  <c r="H147" i="1"/>
  <c r="J146" i="1"/>
  <c r="J146" i="2" s="1"/>
  <c r="K146" i="1"/>
  <c r="K146" i="2" s="1"/>
  <c r="G145" i="1"/>
  <c r="G145" i="2" s="1"/>
  <c r="L145" i="2"/>
  <c r="L146" i="1"/>
  <c r="H146" i="2"/>
  <c r="I146" i="2"/>
  <c r="A147" i="1"/>
  <c r="A146" i="2"/>
  <c r="F146" i="1"/>
  <c r="F145" i="2"/>
  <c r="U148" i="1"/>
  <c r="U147" i="2"/>
  <c r="W146" i="1"/>
  <c r="M146" i="1" s="1"/>
  <c r="M146" i="2" s="1"/>
  <c r="V147" i="1"/>
  <c r="V146" i="2"/>
  <c r="K147" i="1" l="1"/>
  <c r="K147" i="2" s="1"/>
  <c r="J147" i="1"/>
  <c r="J147" i="2" s="1"/>
  <c r="G146" i="1"/>
  <c r="G146" i="2" s="1"/>
  <c r="L146" i="2"/>
  <c r="H147" i="2"/>
  <c r="I148" i="1"/>
  <c r="H148" i="1"/>
  <c r="A147" i="2"/>
  <c r="A148" i="1"/>
  <c r="I147" i="2"/>
  <c r="F147" i="1"/>
  <c r="F146" i="2"/>
  <c r="V147" i="2"/>
  <c r="V148" i="1"/>
  <c r="W147" i="1"/>
  <c r="U148" i="2"/>
  <c r="U149" i="1"/>
  <c r="L147" i="1" l="1"/>
  <c r="M147" i="1"/>
  <c r="M147" i="2" s="1"/>
  <c r="I148" i="2"/>
  <c r="I149" i="1"/>
  <c r="H149" i="1"/>
  <c r="K148" i="1"/>
  <c r="K148" i="2" s="1"/>
  <c r="J148" i="1"/>
  <c r="J148" i="2" s="1"/>
  <c r="A149" i="1"/>
  <c r="A148" i="2"/>
  <c r="L148" i="1"/>
  <c r="H148" i="2"/>
  <c r="G147" i="1"/>
  <c r="G147" i="2" s="1"/>
  <c r="L147" i="2"/>
  <c r="F148" i="1"/>
  <c r="F147" i="2"/>
  <c r="U149" i="2"/>
  <c r="U150" i="1"/>
  <c r="V148" i="2"/>
  <c r="V149" i="1"/>
  <c r="W148" i="1"/>
  <c r="F148" i="2" l="1"/>
  <c r="F149" i="1"/>
  <c r="K149" i="1"/>
  <c r="K149" i="2" s="1"/>
  <c r="J149" i="1"/>
  <c r="J149" i="2" s="1"/>
  <c r="A150" i="1"/>
  <c r="A149" i="2"/>
  <c r="H150" i="1"/>
  <c r="I150" i="1"/>
  <c r="L148" i="2"/>
  <c r="I149" i="2"/>
  <c r="L149" i="1"/>
  <c r="H149" i="2"/>
  <c r="M148" i="1"/>
  <c r="M148" i="2" s="1"/>
  <c r="V149" i="2"/>
  <c r="W149" i="1"/>
  <c r="M149" i="1" s="1"/>
  <c r="M149" i="2" s="1"/>
  <c r="V150" i="1"/>
  <c r="U150" i="2"/>
  <c r="U151" i="1"/>
  <c r="J150" i="1" l="1"/>
  <c r="J150" i="2" s="1"/>
  <c r="K150" i="1"/>
  <c r="K150" i="2" s="1"/>
  <c r="I151" i="1"/>
  <c r="H151" i="1"/>
  <c r="G148" i="1"/>
  <c r="G148" i="2" s="1"/>
  <c r="L150" i="1"/>
  <c r="H150" i="2"/>
  <c r="F150" i="1"/>
  <c r="F149" i="2"/>
  <c r="G149" i="1"/>
  <c r="G149" i="2" s="1"/>
  <c r="L149" i="2"/>
  <c r="I150" i="2"/>
  <c r="A151" i="1"/>
  <c r="A150" i="2"/>
  <c r="U152" i="1"/>
  <c r="U151" i="2"/>
  <c r="V150" i="2"/>
  <c r="V151" i="1"/>
  <c r="W150" i="1"/>
  <c r="M150" i="1" s="1"/>
  <c r="M150" i="2" s="1"/>
  <c r="F151" i="1" l="1"/>
  <c r="F150" i="2"/>
  <c r="I152" i="1"/>
  <c r="H152" i="1"/>
  <c r="A152" i="1"/>
  <c r="A151" i="2"/>
  <c r="G150" i="1"/>
  <c r="G150" i="2" s="1"/>
  <c r="L150" i="2"/>
  <c r="K151" i="1"/>
  <c r="K151" i="2" s="1"/>
  <c r="J151" i="1"/>
  <c r="J151" i="2" s="1"/>
  <c r="H151" i="2"/>
  <c r="I151" i="2"/>
  <c r="V152" i="1"/>
  <c r="V151" i="2"/>
  <c r="W151" i="1"/>
  <c r="M151" i="1" s="1"/>
  <c r="M151" i="2" s="1"/>
  <c r="U152" i="2"/>
  <c r="U153" i="1"/>
  <c r="L151" i="1" l="1"/>
  <c r="L151" i="2" s="1"/>
  <c r="K152" i="1"/>
  <c r="K152" i="2" s="1"/>
  <c r="J152" i="1"/>
  <c r="J152" i="2" s="1"/>
  <c r="H153" i="1"/>
  <c r="I153" i="1"/>
  <c r="A153" i="1"/>
  <c r="A152" i="2"/>
  <c r="L152" i="1"/>
  <c r="H152" i="2"/>
  <c r="I152" i="2"/>
  <c r="F152" i="1"/>
  <c r="F151" i="2"/>
  <c r="U153" i="2"/>
  <c r="U154" i="1"/>
  <c r="V153" i="1"/>
  <c r="V152" i="2"/>
  <c r="W152" i="1"/>
  <c r="M152" i="1" l="1"/>
  <c r="M152" i="2" s="1"/>
  <c r="G151" i="1"/>
  <c r="G151" i="2" s="1"/>
  <c r="F153" i="1"/>
  <c r="F152" i="2"/>
  <c r="I154" i="1"/>
  <c r="H154" i="1"/>
  <c r="I153" i="2"/>
  <c r="K153" i="1"/>
  <c r="K153" i="2" s="1"/>
  <c r="J153" i="1"/>
  <c r="J153" i="2" s="1"/>
  <c r="G152" i="1"/>
  <c r="G152" i="2" s="1"/>
  <c r="L152" i="2"/>
  <c r="A154" i="1"/>
  <c r="A153" i="2"/>
  <c r="L153" i="1"/>
  <c r="H153" i="2"/>
  <c r="W153" i="1"/>
  <c r="V154" i="1"/>
  <c r="V153" i="2"/>
  <c r="U155" i="1"/>
  <c r="U154" i="2"/>
  <c r="I155" i="1" l="1"/>
  <c r="H155" i="1"/>
  <c r="L153" i="2"/>
  <c r="H154" i="2"/>
  <c r="A155" i="1"/>
  <c r="A154" i="2"/>
  <c r="I154" i="2"/>
  <c r="K154" i="1"/>
  <c r="K154" i="2" s="1"/>
  <c r="J154" i="1"/>
  <c r="J154" i="2" s="1"/>
  <c r="M153" i="1"/>
  <c r="M153" i="2" s="1"/>
  <c r="F154" i="1"/>
  <c r="F153" i="2"/>
  <c r="U156" i="1"/>
  <c r="U155" i="2"/>
  <c r="W154" i="1"/>
  <c r="V155" i="1"/>
  <c r="V154" i="2"/>
  <c r="I156" i="1" l="1"/>
  <c r="H156" i="1"/>
  <c r="A156" i="1"/>
  <c r="A155" i="2"/>
  <c r="K155" i="1"/>
  <c r="K155" i="2" s="1"/>
  <c r="J155" i="1"/>
  <c r="J155" i="2" s="1"/>
  <c r="F155" i="1"/>
  <c r="F154" i="2"/>
  <c r="M154" i="1"/>
  <c r="M154" i="2" s="1"/>
  <c r="L154" i="1"/>
  <c r="G153" i="1"/>
  <c r="G153" i="2" s="1"/>
  <c r="L155" i="1"/>
  <c r="H155" i="2"/>
  <c r="I155" i="2"/>
  <c r="W155" i="1"/>
  <c r="M155" i="1" s="1"/>
  <c r="M155" i="2" s="1"/>
  <c r="V156" i="1"/>
  <c r="V155" i="2"/>
  <c r="U157" i="1"/>
  <c r="U156" i="2"/>
  <c r="K156" i="1" l="1"/>
  <c r="K156" i="2" s="1"/>
  <c r="J156" i="1"/>
  <c r="J156" i="2" s="1"/>
  <c r="H157" i="1"/>
  <c r="I157" i="1"/>
  <c r="G155" i="1"/>
  <c r="G155" i="2" s="1"/>
  <c r="L155" i="2"/>
  <c r="H156" i="2"/>
  <c r="G154" i="1"/>
  <c r="G154" i="2" s="1"/>
  <c r="L154" i="2"/>
  <c r="F156" i="1"/>
  <c r="F155" i="2"/>
  <c r="A157" i="1"/>
  <c r="A156" i="2"/>
  <c r="I156" i="2"/>
  <c r="U158" i="1"/>
  <c r="U157" i="2"/>
  <c r="V157" i="1"/>
  <c r="W156" i="1"/>
  <c r="M156" i="1" s="1"/>
  <c r="M156" i="2" s="1"/>
  <c r="V156" i="2"/>
  <c r="L156" i="1" l="1"/>
  <c r="H158" i="1"/>
  <c r="I158" i="1"/>
  <c r="F157" i="1"/>
  <c r="F156" i="2"/>
  <c r="J157" i="1"/>
  <c r="J157" i="2" s="1"/>
  <c r="K157" i="1"/>
  <c r="K157" i="2" s="1"/>
  <c r="A158" i="1"/>
  <c r="A157" i="2"/>
  <c r="G156" i="1"/>
  <c r="G156" i="2" s="1"/>
  <c r="L156" i="2"/>
  <c r="I157" i="2"/>
  <c r="L157" i="1"/>
  <c r="H157" i="2"/>
  <c r="V158" i="1"/>
  <c r="W157" i="1"/>
  <c r="M157" i="1" s="1"/>
  <c r="M157" i="2" s="1"/>
  <c r="V157" i="2"/>
  <c r="U159" i="1"/>
  <c r="U158" i="2"/>
  <c r="K158" i="1" l="1"/>
  <c r="K158" i="2" s="1"/>
  <c r="J158" i="1"/>
  <c r="J158" i="2" s="1"/>
  <c r="I158" i="2"/>
  <c r="H159" i="1"/>
  <c r="I159" i="1"/>
  <c r="G157" i="1"/>
  <c r="G157" i="2" s="1"/>
  <c r="L157" i="2"/>
  <c r="A159" i="1"/>
  <c r="A158" i="2"/>
  <c r="F158" i="1"/>
  <c r="F157" i="2"/>
  <c r="L158" i="1"/>
  <c r="H158" i="2"/>
  <c r="U160" i="1"/>
  <c r="U159" i="2"/>
  <c r="V159" i="1"/>
  <c r="W158" i="1"/>
  <c r="V158" i="2"/>
  <c r="M158" i="1" l="1"/>
  <c r="M158" i="2" s="1"/>
  <c r="A160" i="1"/>
  <c r="A159" i="2"/>
  <c r="F159" i="1"/>
  <c r="F158" i="2"/>
  <c r="I160" i="1"/>
  <c r="H160" i="1"/>
  <c r="G158" i="1"/>
  <c r="G158" i="2" s="1"/>
  <c r="L158" i="2"/>
  <c r="I159" i="2"/>
  <c r="J159" i="1"/>
  <c r="J159" i="2" s="1"/>
  <c r="K159" i="1"/>
  <c r="K159" i="2" s="1"/>
  <c r="H159" i="2"/>
  <c r="V160" i="1"/>
  <c r="V159" i="2"/>
  <c r="W159" i="1"/>
  <c r="U160" i="2"/>
  <c r="U161" i="1"/>
  <c r="L159" i="1" l="1"/>
  <c r="L159" i="2" s="1"/>
  <c r="I161" i="1"/>
  <c r="H161" i="1"/>
  <c r="M159" i="1"/>
  <c r="M159" i="2" s="1"/>
  <c r="K160" i="1"/>
  <c r="K160" i="2" s="1"/>
  <c r="J160" i="1"/>
  <c r="J160" i="2" s="1"/>
  <c r="F160" i="1"/>
  <c r="F159" i="2"/>
  <c r="H160" i="2"/>
  <c r="I160" i="2"/>
  <c r="A161" i="1"/>
  <c r="A160" i="2"/>
  <c r="U162" i="1"/>
  <c r="U161" i="2"/>
  <c r="W160" i="1"/>
  <c r="M160" i="1" s="1"/>
  <c r="M160" i="2" s="1"/>
  <c r="V160" i="2"/>
  <c r="V161" i="1"/>
  <c r="L160" i="1" l="1"/>
  <c r="J161" i="1"/>
  <c r="J161" i="2" s="1"/>
  <c r="K161" i="1"/>
  <c r="K161" i="2" s="1"/>
  <c r="A162" i="1"/>
  <c r="A161" i="2"/>
  <c r="G160" i="1"/>
  <c r="G160" i="2" s="1"/>
  <c r="L160" i="2"/>
  <c r="I161" i="2"/>
  <c r="H162" i="1"/>
  <c r="I162" i="1"/>
  <c r="F161" i="1"/>
  <c r="F160" i="2"/>
  <c r="L161" i="1"/>
  <c r="H161" i="2"/>
  <c r="G159" i="1"/>
  <c r="G159" i="2" s="1"/>
  <c r="V161" i="2"/>
  <c r="W161" i="1"/>
  <c r="M161" i="1" s="1"/>
  <c r="M161" i="2" s="1"/>
  <c r="V162" i="1"/>
  <c r="U163" i="1"/>
  <c r="U162" i="2"/>
  <c r="J162" i="1" l="1"/>
  <c r="J162" i="2" s="1"/>
  <c r="K162" i="1"/>
  <c r="K162" i="2" s="1"/>
  <c r="I162" i="2"/>
  <c r="A163" i="1"/>
  <c r="A162" i="2"/>
  <c r="I163" i="1"/>
  <c r="H163" i="1"/>
  <c r="G161" i="1"/>
  <c r="G161" i="2" s="1"/>
  <c r="L161" i="2"/>
  <c r="F162" i="1"/>
  <c r="F161" i="2"/>
  <c r="L162" i="1"/>
  <c r="H162" i="2"/>
  <c r="U163" i="2"/>
  <c r="U164" i="1"/>
  <c r="V162" i="2"/>
  <c r="W162" i="1"/>
  <c r="V163" i="1"/>
  <c r="J163" i="1" l="1"/>
  <c r="J163" i="2" s="1"/>
  <c r="K163" i="1"/>
  <c r="K163" i="2" s="1"/>
  <c r="I163" i="2"/>
  <c r="I164" i="1"/>
  <c r="H164" i="1"/>
  <c r="L162" i="2"/>
  <c r="F163" i="1"/>
  <c r="F162" i="2"/>
  <c r="L163" i="1"/>
  <c r="H163" i="2"/>
  <c r="A164" i="1"/>
  <c r="A163" i="2"/>
  <c r="M162" i="1"/>
  <c r="M162" i="2" s="1"/>
  <c r="V163" i="2"/>
  <c r="W163" i="1"/>
  <c r="V164" i="1"/>
  <c r="U164" i="2"/>
  <c r="U165" i="1"/>
  <c r="F164" i="1" l="1"/>
  <c r="F163" i="2"/>
  <c r="J164" i="1"/>
  <c r="J164" i="2" s="1"/>
  <c r="K164" i="1"/>
  <c r="K164" i="2" s="1"/>
  <c r="A165" i="1"/>
  <c r="A164" i="2"/>
  <c r="I165" i="1"/>
  <c r="H165" i="1"/>
  <c r="L163" i="2"/>
  <c r="G162" i="1"/>
  <c r="G162" i="2" s="1"/>
  <c r="L164" i="1"/>
  <c r="H164" i="2"/>
  <c r="I164" i="2"/>
  <c r="M163" i="1"/>
  <c r="M163" i="2" s="1"/>
  <c r="V165" i="1"/>
  <c r="V164" i="2"/>
  <c r="W164" i="1"/>
  <c r="M164" i="1" s="1"/>
  <c r="M164" i="2" s="1"/>
  <c r="U166" i="1"/>
  <c r="U165" i="2"/>
  <c r="K165" i="1" l="1"/>
  <c r="K165" i="2" s="1"/>
  <c r="J165" i="1"/>
  <c r="J165" i="2" s="1"/>
  <c r="H165" i="2"/>
  <c r="H166" i="1"/>
  <c r="I166" i="1"/>
  <c r="G164" i="1"/>
  <c r="G164" i="2" s="1"/>
  <c r="L164" i="2"/>
  <c r="G163" i="1"/>
  <c r="G163" i="2" s="1"/>
  <c r="I165" i="2"/>
  <c r="A166" i="1"/>
  <c r="A165" i="2"/>
  <c r="F165" i="1"/>
  <c r="F164" i="2"/>
  <c r="U167" i="1"/>
  <c r="U166" i="2"/>
  <c r="W165" i="1"/>
  <c r="M165" i="1" s="1"/>
  <c r="M165" i="2" s="1"/>
  <c r="V166" i="1"/>
  <c r="V165" i="2"/>
  <c r="I167" i="1" l="1"/>
  <c r="H167" i="1"/>
  <c r="J166" i="1"/>
  <c r="J166" i="2" s="1"/>
  <c r="K166" i="1"/>
  <c r="K166" i="2" s="1"/>
  <c r="F166" i="1"/>
  <c r="F165" i="2"/>
  <c r="A167" i="1"/>
  <c r="A166" i="2"/>
  <c r="I166" i="2"/>
  <c r="L166" i="1"/>
  <c r="H166" i="2"/>
  <c r="L165" i="1"/>
  <c r="W166" i="1"/>
  <c r="M166" i="1" s="1"/>
  <c r="M166" i="2" s="1"/>
  <c r="V167" i="1"/>
  <c r="V166" i="2"/>
  <c r="U168" i="1"/>
  <c r="U167" i="2"/>
  <c r="A168" i="1" l="1"/>
  <c r="A167" i="2"/>
  <c r="I168" i="1"/>
  <c r="H168" i="1"/>
  <c r="G165" i="1"/>
  <c r="G165" i="2" s="1"/>
  <c r="L165" i="2"/>
  <c r="G166" i="1"/>
  <c r="G166" i="2" s="1"/>
  <c r="L166" i="2"/>
  <c r="K167" i="1"/>
  <c r="K167" i="2" s="1"/>
  <c r="J167" i="1"/>
  <c r="J167" i="2" s="1"/>
  <c r="F167" i="1"/>
  <c r="F166" i="2"/>
  <c r="H167" i="2"/>
  <c r="I167" i="2"/>
  <c r="U168" i="2"/>
  <c r="U169" i="1"/>
  <c r="W167" i="1"/>
  <c r="M167" i="1" s="1"/>
  <c r="M167" i="2" s="1"/>
  <c r="V168" i="1"/>
  <c r="V167" i="2"/>
  <c r="L167" i="1" l="1"/>
  <c r="I169" i="1"/>
  <c r="H169" i="1"/>
  <c r="F168" i="1"/>
  <c r="F167" i="2"/>
  <c r="I168" i="2"/>
  <c r="K168" i="1"/>
  <c r="K168" i="2" s="1"/>
  <c r="J168" i="1"/>
  <c r="J168" i="2" s="1"/>
  <c r="G167" i="1"/>
  <c r="G167" i="2" s="1"/>
  <c r="L167" i="2"/>
  <c r="H168" i="2"/>
  <c r="A169" i="1"/>
  <c r="A168" i="2"/>
  <c r="W168" i="1"/>
  <c r="V168" i="2"/>
  <c r="V169" i="1"/>
  <c r="U170" i="1"/>
  <c r="U169" i="2"/>
  <c r="L168" i="1" l="1"/>
  <c r="L168" i="2" s="1"/>
  <c r="I170" i="1"/>
  <c r="H170" i="1"/>
  <c r="A170" i="1"/>
  <c r="A169" i="2"/>
  <c r="K169" i="1"/>
  <c r="K169" i="2" s="1"/>
  <c r="J169" i="1"/>
  <c r="J169" i="2" s="1"/>
  <c r="M168" i="1"/>
  <c r="M168" i="2" s="1"/>
  <c r="F169" i="1"/>
  <c r="F168" i="2"/>
  <c r="H169" i="2"/>
  <c r="I169" i="2"/>
  <c r="V170" i="1"/>
  <c r="V169" i="2"/>
  <c r="W169" i="1"/>
  <c r="M169" i="1" s="1"/>
  <c r="M169" i="2" s="1"/>
  <c r="U171" i="1"/>
  <c r="U170" i="2"/>
  <c r="L169" i="1" l="1"/>
  <c r="G169" i="1"/>
  <c r="G169" i="2" s="1"/>
  <c r="L169" i="2"/>
  <c r="K170" i="1"/>
  <c r="K170" i="2" s="1"/>
  <c r="J170" i="1"/>
  <c r="J170" i="2" s="1"/>
  <c r="F170" i="1"/>
  <c r="F169" i="2"/>
  <c r="L170" i="1"/>
  <c r="H170" i="2"/>
  <c r="I171" i="1"/>
  <c r="H171" i="1"/>
  <c r="G168" i="1"/>
  <c r="G168" i="2" s="1"/>
  <c r="A171" i="1"/>
  <c r="A170" i="2"/>
  <c r="I170" i="2"/>
  <c r="U171" i="2"/>
  <c r="U172" i="1"/>
  <c r="W170" i="1"/>
  <c r="M170" i="1" s="1"/>
  <c r="M170" i="2" s="1"/>
  <c r="V170" i="2"/>
  <c r="V171" i="1"/>
  <c r="K171" i="1" l="1"/>
  <c r="K171" i="2" s="1"/>
  <c r="J171" i="1"/>
  <c r="J171" i="2" s="1"/>
  <c r="I171" i="2"/>
  <c r="A172" i="1"/>
  <c r="A171" i="2"/>
  <c r="H171" i="2"/>
  <c r="G170" i="1"/>
  <c r="G170" i="2" s="1"/>
  <c r="L170" i="2"/>
  <c r="I172" i="1"/>
  <c r="H172" i="1"/>
  <c r="F171" i="1"/>
  <c r="F170" i="2"/>
  <c r="V171" i="2"/>
  <c r="V172" i="1"/>
  <c r="W171" i="1"/>
  <c r="M171" i="1" s="1"/>
  <c r="M171" i="2" s="1"/>
  <c r="U172" i="2"/>
  <c r="U173" i="1"/>
  <c r="L171" i="1" l="1"/>
  <c r="F172" i="1"/>
  <c r="F171" i="2"/>
  <c r="H173" i="1"/>
  <c r="I173" i="1"/>
  <c r="H172" i="2"/>
  <c r="A173" i="1"/>
  <c r="A172" i="2"/>
  <c r="I172" i="2"/>
  <c r="K172" i="1"/>
  <c r="K172" i="2" s="1"/>
  <c r="J172" i="1"/>
  <c r="J172" i="2" s="1"/>
  <c r="G171" i="1"/>
  <c r="G171" i="2" s="1"/>
  <c r="L171" i="2"/>
  <c r="U174" i="1"/>
  <c r="U173" i="2"/>
  <c r="V173" i="1"/>
  <c r="V172" i="2"/>
  <c r="W172" i="1"/>
  <c r="J173" i="1" l="1"/>
  <c r="J173" i="2" s="1"/>
  <c r="K173" i="1"/>
  <c r="K173" i="2" s="1"/>
  <c r="I174" i="1"/>
  <c r="H174" i="1"/>
  <c r="A174" i="1"/>
  <c r="A173" i="2"/>
  <c r="L172" i="1"/>
  <c r="L173" i="1"/>
  <c r="H173" i="2"/>
  <c r="M172" i="1"/>
  <c r="M172" i="2" s="1"/>
  <c r="I173" i="2"/>
  <c r="F173" i="1"/>
  <c r="F172" i="2"/>
  <c r="W173" i="1"/>
  <c r="M173" i="1" s="1"/>
  <c r="M173" i="2" s="1"/>
  <c r="V174" i="1"/>
  <c r="V173" i="2"/>
  <c r="U175" i="1"/>
  <c r="U174" i="2"/>
  <c r="H175" i="1" l="1"/>
  <c r="I175" i="1"/>
  <c r="J174" i="1"/>
  <c r="J174" i="2" s="1"/>
  <c r="K174" i="1"/>
  <c r="K174" i="2" s="1"/>
  <c r="F174" i="1"/>
  <c r="F173" i="2"/>
  <c r="G173" i="1"/>
  <c r="G173" i="2" s="1"/>
  <c r="L173" i="2"/>
  <c r="G172" i="1"/>
  <c r="G172" i="2" s="1"/>
  <c r="L172" i="2"/>
  <c r="A175" i="1"/>
  <c r="A174" i="2"/>
  <c r="L174" i="1"/>
  <c r="H174" i="2"/>
  <c r="I174" i="2"/>
  <c r="U176" i="1"/>
  <c r="U175" i="2"/>
  <c r="V175" i="1"/>
  <c r="W174" i="1"/>
  <c r="M174" i="1" s="1"/>
  <c r="M174" i="2" s="1"/>
  <c r="V174" i="2"/>
  <c r="I176" i="1" l="1"/>
  <c r="H176" i="1"/>
  <c r="G174" i="1"/>
  <c r="G174" i="2" s="1"/>
  <c r="L174" i="2"/>
  <c r="J175" i="1"/>
  <c r="J175" i="2" s="1"/>
  <c r="K175" i="1"/>
  <c r="K175" i="2" s="1"/>
  <c r="A176" i="1"/>
  <c r="A175" i="2"/>
  <c r="F175" i="1"/>
  <c r="F174" i="2"/>
  <c r="I175" i="2"/>
  <c r="L175" i="1"/>
  <c r="H175" i="2"/>
  <c r="V176" i="1"/>
  <c r="W175" i="1"/>
  <c r="M175" i="1" s="1"/>
  <c r="M175" i="2" s="1"/>
  <c r="V175" i="2"/>
  <c r="U177" i="1"/>
  <c r="U176" i="2"/>
  <c r="I177" i="1" l="1"/>
  <c r="H177" i="1"/>
  <c r="G175" i="1"/>
  <c r="G175" i="2" s="1"/>
  <c r="L175" i="2"/>
  <c r="A177" i="1"/>
  <c r="A176" i="2"/>
  <c r="K176" i="1"/>
  <c r="K176" i="2" s="1"/>
  <c r="J176" i="1"/>
  <c r="J176" i="2" s="1"/>
  <c r="F176" i="1"/>
  <c r="F175" i="2"/>
  <c r="H176" i="2"/>
  <c r="I176" i="2"/>
  <c r="U178" i="1"/>
  <c r="U177" i="2"/>
  <c r="W176" i="1"/>
  <c r="M176" i="1" s="1"/>
  <c r="M176" i="2" s="1"/>
  <c r="V177" i="1"/>
  <c r="V176" i="2"/>
  <c r="L176" i="1" l="1"/>
  <c r="F177" i="1"/>
  <c r="F176" i="2"/>
  <c r="J177" i="1"/>
  <c r="J177" i="2" s="1"/>
  <c r="K177" i="1"/>
  <c r="K177" i="2" s="1"/>
  <c r="H178" i="1"/>
  <c r="I178" i="1"/>
  <c r="G176" i="1"/>
  <c r="G176" i="2" s="1"/>
  <c r="L176" i="2"/>
  <c r="A178" i="1"/>
  <c r="A177" i="2"/>
  <c r="L177" i="1"/>
  <c r="H177" i="2"/>
  <c r="I177" i="2"/>
  <c r="W177" i="1"/>
  <c r="M177" i="1" s="1"/>
  <c r="M177" i="2" s="1"/>
  <c r="V178" i="1"/>
  <c r="V177" i="2"/>
  <c r="U178" i="2"/>
  <c r="U179" i="1"/>
  <c r="J178" i="1" l="1"/>
  <c r="J178" i="2" s="1"/>
  <c r="K178" i="1"/>
  <c r="K178" i="2" s="1"/>
  <c r="I179" i="1"/>
  <c r="H179" i="1"/>
  <c r="G177" i="1"/>
  <c r="G177" i="2" s="1"/>
  <c r="L177" i="2"/>
  <c r="A179" i="1"/>
  <c r="A178" i="2"/>
  <c r="I178" i="2"/>
  <c r="L178" i="1"/>
  <c r="H178" i="2"/>
  <c r="F178" i="1"/>
  <c r="F177" i="2"/>
  <c r="U179" i="2"/>
  <c r="U180" i="1"/>
  <c r="V178" i="2"/>
  <c r="W178" i="1"/>
  <c r="M178" i="1" s="1"/>
  <c r="M178" i="2" s="1"/>
  <c r="V179" i="1"/>
  <c r="A179" i="2" l="1"/>
  <c r="A180" i="1"/>
  <c r="A180" i="2" s="1"/>
  <c r="J179" i="1"/>
  <c r="J179" i="2" s="1"/>
  <c r="K179" i="1"/>
  <c r="K179" i="2" s="1"/>
  <c r="I180" i="1"/>
  <c r="H180" i="1"/>
  <c r="F179" i="1"/>
  <c r="F178" i="2"/>
  <c r="G178" i="1"/>
  <c r="G178" i="2" s="1"/>
  <c r="L178" i="2"/>
  <c r="L179" i="1"/>
  <c r="H179" i="2"/>
  <c r="I179" i="2"/>
  <c r="V179" i="2"/>
  <c r="V180" i="1"/>
  <c r="W179" i="1"/>
  <c r="M179" i="1" s="1"/>
  <c r="M179" i="2" s="1"/>
  <c r="U180" i="2"/>
  <c r="U181" i="1"/>
  <c r="I181" i="1" l="1"/>
  <c r="H181" i="1"/>
  <c r="G179" i="1"/>
  <c r="G179" i="2" s="1"/>
  <c r="L179" i="2"/>
  <c r="K180" i="1"/>
  <c r="K180" i="2" s="1"/>
  <c r="J180" i="1"/>
  <c r="J180" i="2" s="1"/>
  <c r="F180" i="1"/>
  <c r="F179" i="2"/>
  <c r="L180" i="1"/>
  <c r="H180" i="2"/>
  <c r="I180" i="2"/>
  <c r="U181" i="2"/>
  <c r="U182" i="1"/>
  <c r="V180" i="2"/>
  <c r="V181" i="1"/>
  <c r="W180" i="1"/>
  <c r="M180" i="1" s="1"/>
  <c r="M180" i="2" s="1"/>
  <c r="I182" i="1" l="1"/>
  <c r="H182" i="1"/>
  <c r="F180" i="2"/>
  <c r="F181" i="1"/>
  <c r="F181" i="2" s="1"/>
  <c r="H181" i="2"/>
  <c r="J181" i="1"/>
  <c r="J181" i="2" s="1"/>
  <c r="K181" i="1"/>
  <c r="K181" i="2" s="1"/>
  <c r="I181" i="2"/>
  <c r="G180" i="1"/>
  <c r="G180" i="2" s="1"/>
  <c r="L180" i="2"/>
  <c r="V181" i="2"/>
  <c r="W181" i="1"/>
  <c r="M181" i="1" s="1"/>
  <c r="M181" i="2" s="1"/>
  <c r="V182" i="1"/>
  <c r="U182" i="2"/>
  <c r="U183" i="1"/>
  <c r="K182" i="1" l="1"/>
  <c r="K182" i="2" s="1"/>
  <c r="J182" i="1"/>
  <c r="J182" i="2" s="1"/>
  <c r="H182" i="2"/>
  <c r="I182" i="2"/>
  <c r="L181" i="1"/>
  <c r="V182" i="2"/>
  <c r="W182" i="1"/>
  <c r="M182" i="1" s="1"/>
  <c r="M182" i="2" s="1"/>
  <c r="V183" i="1"/>
  <c r="U183" i="2"/>
  <c r="U184" i="1"/>
  <c r="L182" i="1" l="1"/>
  <c r="G182" i="1"/>
  <c r="G182" i="2" s="1"/>
  <c r="L182" i="2"/>
  <c r="G181" i="1"/>
  <c r="G181" i="2" s="1"/>
  <c r="L181" i="2"/>
  <c r="V183" i="2"/>
  <c r="W183" i="1"/>
  <c r="V184" i="1"/>
  <c r="U184" i="2"/>
  <c r="U185" i="1"/>
  <c r="V184" i="2" l="1"/>
  <c r="W184" i="1"/>
  <c r="V185" i="1"/>
  <c r="U185" i="2"/>
  <c r="U186" i="1"/>
  <c r="U187" i="1" l="1"/>
  <c r="U186" i="2"/>
  <c r="V185" i="2"/>
  <c r="V186" i="1"/>
  <c r="W185" i="1"/>
  <c r="W186" i="1" l="1"/>
  <c r="V187" i="1"/>
  <c r="V186" i="2"/>
  <c r="U188" i="1"/>
  <c r="U187" i="2"/>
  <c r="U189" i="1" l="1"/>
  <c r="U188" i="2"/>
  <c r="W187" i="1"/>
  <c r="V188" i="1"/>
  <c r="V187" i="2"/>
  <c r="W188" i="1" l="1"/>
  <c r="V189" i="1"/>
  <c r="V188" i="2"/>
  <c r="U190" i="1"/>
  <c r="U189" i="2"/>
  <c r="W189" i="1" l="1"/>
  <c r="V190" i="1"/>
  <c r="V189" i="2"/>
  <c r="U191" i="1"/>
  <c r="U190" i="2"/>
  <c r="U192" i="1" l="1"/>
  <c r="U191" i="2"/>
  <c r="W190" i="1"/>
  <c r="V191" i="1"/>
  <c r="V190" i="2"/>
  <c r="V192" i="1" l="1"/>
  <c r="V191" i="2"/>
  <c r="W191" i="1"/>
  <c r="U193" i="1"/>
  <c r="U192" i="2"/>
  <c r="U194" i="1" l="1"/>
  <c r="U193" i="2"/>
  <c r="V192" i="2"/>
  <c r="W192" i="1"/>
  <c r="V193" i="1"/>
  <c r="W193" i="1" l="1"/>
  <c r="V193" i="2"/>
  <c r="V194" i="1"/>
  <c r="U195" i="1"/>
  <c r="U194" i="2"/>
  <c r="W194" i="1" l="1"/>
  <c r="V194" i="2"/>
  <c r="V195" i="1"/>
  <c r="U196" i="1"/>
  <c r="U195" i="2"/>
  <c r="U196" i="2" l="1"/>
  <c r="U197" i="1"/>
  <c r="V195" i="2"/>
  <c r="W195" i="1"/>
  <c r="V196" i="1"/>
  <c r="V197" i="1" l="1"/>
  <c r="V196" i="2"/>
  <c r="W196" i="1"/>
  <c r="U198" i="1"/>
  <c r="U197" i="2"/>
  <c r="U199" i="1" l="1"/>
  <c r="U198" i="2"/>
  <c r="W197" i="1"/>
  <c r="V198" i="1"/>
  <c r="V197" i="2"/>
  <c r="W198" i="1" l="1"/>
  <c r="V198" i="2"/>
  <c r="V199" i="1"/>
  <c r="U199" i="2"/>
  <c r="U200" i="1"/>
  <c r="V199" i="2" l="1"/>
  <c r="V200" i="1"/>
  <c r="W199" i="1"/>
  <c r="U200" i="2"/>
  <c r="U201" i="1"/>
  <c r="U202" i="1" l="1"/>
  <c r="U201" i="2"/>
  <c r="V200" i="2"/>
  <c r="W200" i="1"/>
  <c r="V201" i="1"/>
  <c r="V202" i="1" l="1"/>
  <c r="V201" i="2"/>
  <c r="W201" i="1"/>
  <c r="U203" i="1"/>
  <c r="U202" i="2"/>
  <c r="U203" i="2" l="1"/>
  <c r="U204" i="1"/>
  <c r="W202" i="1"/>
  <c r="V202" i="2"/>
  <c r="V203" i="1"/>
  <c r="V203" i="2" l="1"/>
  <c r="W203" i="1"/>
  <c r="V204" i="1"/>
  <c r="U205" i="1"/>
  <c r="U204" i="2"/>
  <c r="U205" i="2" l="1"/>
  <c r="U206" i="1"/>
  <c r="W204" i="1"/>
  <c r="V205" i="1"/>
  <c r="V204" i="2"/>
  <c r="V205" i="2" l="1"/>
  <c r="V206" i="1"/>
  <c r="W205" i="1"/>
  <c r="U206" i="2"/>
  <c r="U207" i="1"/>
  <c r="U208" i="1" l="1"/>
  <c r="U207" i="2"/>
  <c r="V206" i="2"/>
  <c r="W206" i="1"/>
  <c r="V207" i="1"/>
  <c r="V208" i="1" l="1"/>
  <c r="V207" i="2"/>
  <c r="W207" i="1"/>
  <c r="U209" i="1"/>
  <c r="U208" i="2"/>
  <c r="U210" i="1" l="1"/>
  <c r="U209" i="2"/>
  <c r="W208" i="1"/>
  <c r="V209" i="1"/>
  <c r="V208" i="2"/>
  <c r="W209" i="1" l="1"/>
  <c r="V210" i="1"/>
  <c r="V209" i="2"/>
  <c r="U210" i="2"/>
  <c r="U211" i="1"/>
  <c r="U211" i="2" l="1"/>
  <c r="U212" i="1"/>
  <c r="V210" i="2"/>
  <c r="W210" i="1"/>
  <c r="V211" i="1"/>
  <c r="U212" i="2" l="1"/>
  <c r="U213" i="1"/>
  <c r="U214" i="1" s="1"/>
  <c r="U215" i="1" s="1"/>
  <c r="U216" i="1" s="1"/>
  <c r="U217" i="1" s="1"/>
  <c r="U218" i="1" s="1"/>
  <c r="U219" i="1" s="1"/>
  <c r="U220" i="1" s="1"/>
  <c r="U221" i="1" s="1"/>
  <c r="U222" i="1" s="1"/>
  <c r="U223" i="1" s="1"/>
  <c r="U224" i="1" s="1"/>
  <c r="U225" i="1" s="1"/>
  <c r="U226" i="1" s="1"/>
  <c r="U227" i="1" s="1"/>
  <c r="U228" i="1" s="1"/>
  <c r="U229" i="1" s="1"/>
  <c r="U230" i="1" s="1"/>
  <c r="U231" i="1" s="1"/>
  <c r="U232" i="1" s="1"/>
  <c r="U233" i="1" s="1"/>
  <c r="U234" i="1" s="1"/>
  <c r="U235" i="1" s="1"/>
  <c r="U236" i="1" s="1"/>
  <c r="U237" i="1" s="1"/>
  <c r="U238" i="1" s="1"/>
  <c r="U239" i="1" s="1"/>
  <c r="U240" i="1" s="1"/>
  <c r="U241" i="1" s="1"/>
  <c r="U242" i="1" s="1"/>
  <c r="U243" i="1" s="1"/>
  <c r="U244" i="1" s="1"/>
  <c r="U245" i="1" s="1"/>
  <c r="U246" i="1" s="1"/>
  <c r="U247" i="1" s="1"/>
  <c r="U248" i="1" s="1"/>
  <c r="U249" i="1" s="1"/>
  <c r="U250" i="1" s="1"/>
  <c r="U251" i="1" s="1"/>
  <c r="U252" i="1" s="1"/>
  <c r="U253" i="1" s="1"/>
  <c r="U254" i="1" s="1"/>
  <c r="U255" i="1" s="1"/>
  <c r="U256" i="1" s="1"/>
  <c r="U257" i="1" s="1"/>
  <c r="U258" i="1" s="1"/>
  <c r="U259" i="1" s="1"/>
  <c r="U260" i="1" s="1"/>
  <c r="U261" i="1" s="1"/>
  <c r="U262" i="1" s="1"/>
  <c r="U263" i="1" s="1"/>
  <c r="U264" i="1" s="1"/>
  <c r="U265" i="1" s="1"/>
  <c r="U266" i="1" s="1"/>
  <c r="U267" i="1" s="1"/>
  <c r="U268" i="1" s="1"/>
  <c r="U269" i="1" s="1"/>
  <c r="U270" i="1" s="1"/>
  <c r="U271" i="1" s="1"/>
  <c r="U272" i="1" s="1"/>
  <c r="U273" i="1" s="1"/>
  <c r="U274" i="1" s="1"/>
  <c r="U275" i="1" s="1"/>
  <c r="U276" i="1" s="1"/>
  <c r="U277" i="1" s="1"/>
  <c r="U278" i="1" s="1"/>
  <c r="U279" i="1" s="1"/>
  <c r="U280" i="1" s="1"/>
  <c r="U281" i="1" s="1"/>
  <c r="U282" i="1" s="1"/>
  <c r="U283" i="1" s="1"/>
  <c r="U284" i="1" s="1"/>
  <c r="U285" i="1" s="1"/>
  <c r="U286" i="1" s="1"/>
  <c r="U287" i="1" s="1"/>
  <c r="U288" i="1" s="1"/>
  <c r="U289" i="1" s="1"/>
  <c r="U290" i="1" s="1"/>
  <c r="U291" i="1" s="1"/>
  <c r="U292" i="1" s="1"/>
  <c r="U293" i="1" s="1"/>
  <c r="U294" i="1" s="1"/>
  <c r="U295" i="1" s="1"/>
  <c r="U296" i="1" s="1"/>
  <c r="U297" i="1" s="1"/>
  <c r="U298" i="1" s="1"/>
  <c r="U299" i="1" s="1"/>
  <c r="U300" i="1" s="1"/>
  <c r="U301" i="1" s="1"/>
  <c r="U302" i="1" s="1"/>
  <c r="U303" i="1" s="1"/>
  <c r="U304" i="1" s="1"/>
  <c r="U305" i="1" s="1"/>
  <c r="U306" i="1" s="1"/>
  <c r="U307" i="1" s="1"/>
  <c r="U308" i="1" s="1"/>
  <c r="U309" i="1" s="1"/>
  <c r="U310" i="1" s="1"/>
  <c r="U311" i="1" s="1"/>
  <c r="U312" i="1" s="1"/>
  <c r="U313" i="1" s="1"/>
  <c r="U314" i="1" s="1"/>
  <c r="U315" i="1" s="1"/>
  <c r="U316" i="1" s="1"/>
  <c r="U317" i="1" s="1"/>
  <c r="U318" i="1" s="1"/>
  <c r="U319" i="1" s="1"/>
  <c r="U320" i="1" s="1"/>
  <c r="U321" i="1" s="1"/>
  <c r="U322" i="1" s="1"/>
  <c r="U323" i="1" s="1"/>
  <c r="U324" i="1" s="1"/>
  <c r="U325" i="1" s="1"/>
  <c r="U326" i="1" s="1"/>
  <c r="U327" i="1" s="1"/>
  <c r="U328" i="1" s="1"/>
  <c r="U329" i="1" s="1"/>
  <c r="U330" i="1" s="1"/>
  <c r="U331" i="1" s="1"/>
  <c r="U332" i="1" s="1"/>
  <c r="U333" i="1" s="1"/>
  <c r="U334" i="1" s="1"/>
  <c r="U335" i="1" s="1"/>
  <c r="U336" i="1" s="1"/>
  <c r="U337" i="1" s="1"/>
  <c r="U338" i="1" s="1"/>
  <c r="U339" i="1" s="1"/>
  <c r="U340" i="1" s="1"/>
  <c r="U341" i="1" s="1"/>
  <c r="U342" i="1" s="1"/>
  <c r="U343" i="1" s="1"/>
  <c r="U344" i="1" s="1"/>
  <c r="U345" i="1" s="1"/>
  <c r="U346" i="1" s="1"/>
  <c r="U347" i="1" s="1"/>
  <c r="U348" i="1" s="1"/>
  <c r="U349" i="1" s="1"/>
  <c r="U350" i="1" s="1"/>
  <c r="U351" i="1" s="1"/>
  <c r="U352" i="1" s="1"/>
  <c r="U353" i="1" s="1"/>
  <c r="U354" i="1" s="1"/>
  <c r="U355" i="1" s="1"/>
  <c r="U356" i="1" s="1"/>
  <c r="U357" i="1" s="1"/>
  <c r="U358" i="1" s="1"/>
  <c r="U359" i="1" s="1"/>
  <c r="U360" i="1" s="1"/>
  <c r="U361" i="1" s="1"/>
  <c r="U362" i="1" s="1"/>
  <c r="U363" i="1" s="1"/>
  <c r="U364" i="1" s="1"/>
  <c r="U365" i="1" s="1"/>
  <c r="U366" i="1" s="1"/>
  <c r="U367" i="1" s="1"/>
  <c r="U368" i="1" s="1"/>
  <c r="U369" i="1" s="1"/>
  <c r="U370" i="1" s="1"/>
  <c r="U371" i="1" s="1"/>
  <c r="U372" i="1" s="1"/>
  <c r="U373" i="1" s="1"/>
  <c r="U374" i="1" s="1"/>
  <c r="U375" i="1" s="1"/>
  <c r="U376" i="1" s="1"/>
  <c r="U377" i="1" s="1"/>
  <c r="U378" i="1" s="1"/>
  <c r="U379" i="1" s="1"/>
  <c r="U380" i="1" s="1"/>
  <c r="U381" i="1" s="1"/>
  <c r="U382" i="1" s="1"/>
  <c r="U383" i="1" s="1"/>
  <c r="U384" i="1" s="1"/>
  <c r="U385" i="1" s="1"/>
  <c r="U386" i="1" s="1"/>
  <c r="U387" i="1" s="1"/>
  <c r="U388" i="1" s="1"/>
  <c r="U389" i="1" s="1"/>
  <c r="U390" i="1" s="1"/>
  <c r="U391" i="1" s="1"/>
  <c r="U392" i="1" s="1"/>
  <c r="U393" i="1" s="1"/>
  <c r="U394" i="1" s="1"/>
  <c r="U395" i="1" s="1"/>
  <c r="U396" i="1" s="1"/>
  <c r="U397" i="1" s="1"/>
  <c r="U398" i="1" s="1"/>
  <c r="U399" i="1" s="1"/>
  <c r="U400" i="1" s="1"/>
  <c r="V211" i="2"/>
  <c r="W211" i="1"/>
  <c r="V212" i="1"/>
  <c r="V212" i="2" l="1"/>
  <c r="V213" i="1"/>
  <c r="W212" i="1"/>
  <c r="W213" i="1" l="1"/>
  <c r="V214" i="1"/>
  <c r="V215" i="1" l="1"/>
  <c r="W214" i="1"/>
  <c r="V216" i="1" l="1"/>
  <c r="W215" i="1"/>
  <c r="W216" i="1" l="1"/>
  <c r="V217" i="1"/>
  <c r="V218" i="1" l="1"/>
  <c r="W217" i="1"/>
  <c r="W218" i="1" l="1"/>
  <c r="V219" i="1"/>
  <c r="W219" i="1" l="1"/>
  <c r="V220" i="1"/>
  <c r="W220" i="1" l="1"/>
  <c r="V221" i="1"/>
  <c r="W221" i="1" l="1"/>
  <c r="V222" i="1"/>
  <c r="V223" i="1" l="1"/>
  <c r="W222" i="1"/>
  <c r="V224" i="1" l="1"/>
  <c r="W223" i="1"/>
  <c r="V225" i="1" l="1"/>
  <c r="W224" i="1"/>
  <c r="W225" i="1" l="1"/>
  <c r="V226" i="1"/>
  <c r="V227" i="1" l="1"/>
  <c r="W226" i="1"/>
  <c r="W227" i="1" l="1"/>
  <c r="V228" i="1"/>
  <c r="V229" i="1" l="1"/>
  <c r="W228" i="1"/>
  <c r="W229" i="1" l="1"/>
  <c r="V230" i="1"/>
  <c r="W230" i="1" l="1"/>
  <c r="V231" i="1"/>
  <c r="W231" i="1" l="1"/>
  <c r="V232" i="1"/>
  <c r="V233" i="1" l="1"/>
  <c r="W232" i="1"/>
  <c r="W233" i="1" l="1"/>
  <c r="V234" i="1"/>
  <c r="W234" i="1" l="1"/>
  <c r="V235" i="1"/>
  <c r="W235" i="1" l="1"/>
  <c r="V236" i="1"/>
  <c r="V237" i="1" l="1"/>
  <c r="W236" i="1"/>
  <c r="W237" i="1" l="1"/>
  <c r="V238" i="1"/>
  <c r="W238" i="1" l="1"/>
  <c r="V239" i="1"/>
  <c r="V240" i="1" l="1"/>
  <c r="W239" i="1"/>
  <c r="W240" i="1" l="1"/>
  <c r="V241" i="1"/>
  <c r="W241" i="1" l="1"/>
  <c r="V242" i="1"/>
  <c r="V243" i="1" l="1"/>
  <c r="W242" i="1"/>
  <c r="V244" i="1" l="1"/>
  <c r="W243" i="1"/>
  <c r="V245" i="1" l="1"/>
  <c r="W244" i="1"/>
  <c r="W245" i="1" l="1"/>
  <c r="V246" i="1"/>
  <c r="W246" i="1" l="1"/>
  <c r="V247" i="1"/>
  <c r="W247" i="1" l="1"/>
  <c r="V248" i="1"/>
  <c r="V249" i="1" l="1"/>
  <c r="W248" i="1"/>
  <c r="W249" i="1" l="1"/>
  <c r="V250" i="1"/>
  <c r="W250" i="1" l="1"/>
  <c r="V251" i="1"/>
  <c r="V252" i="1" l="1"/>
  <c r="W251" i="1"/>
  <c r="W252" i="1" l="1"/>
  <c r="V253" i="1"/>
  <c r="W253" i="1" l="1"/>
  <c r="V254" i="1"/>
  <c r="W254" i="1" l="1"/>
  <c r="V255" i="1"/>
  <c r="V256" i="1" l="1"/>
  <c r="W255" i="1"/>
  <c r="W256" i="1" l="1"/>
  <c r="V257" i="1"/>
  <c r="V258" i="1" l="1"/>
  <c r="W257" i="1"/>
  <c r="W258" i="1" l="1"/>
  <c r="V259" i="1"/>
  <c r="W259" i="1" l="1"/>
  <c r="V260" i="1"/>
  <c r="V261" i="1" l="1"/>
  <c r="W260" i="1"/>
  <c r="W261" i="1" l="1"/>
  <c r="V262" i="1"/>
  <c r="W262" i="1" l="1"/>
  <c r="V263" i="1"/>
  <c r="V264" i="1" l="1"/>
  <c r="W263" i="1"/>
  <c r="W264" i="1" l="1"/>
  <c r="V265" i="1"/>
  <c r="V266" i="1" l="1"/>
  <c r="W265" i="1"/>
  <c r="W266" i="1" l="1"/>
  <c r="V267" i="1"/>
  <c r="W267" i="1" l="1"/>
  <c r="V268" i="1"/>
  <c r="W268" i="1" l="1"/>
  <c r="V269" i="1"/>
  <c r="W269" i="1" l="1"/>
  <c r="V270" i="1"/>
  <c r="W270" i="1" l="1"/>
  <c r="V271" i="1"/>
  <c r="V272" i="1" l="1"/>
  <c r="W271" i="1"/>
  <c r="W272" i="1" l="1"/>
  <c r="V273" i="1"/>
  <c r="W273" i="1" l="1"/>
  <c r="V274" i="1"/>
  <c r="W274" i="1" l="1"/>
  <c r="V275" i="1"/>
  <c r="V276" i="1" l="1"/>
  <c r="W275" i="1"/>
  <c r="V277" i="1" l="1"/>
  <c r="W276" i="1"/>
  <c r="W277" i="1" l="1"/>
  <c r="V278" i="1"/>
  <c r="W278" i="1" l="1"/>
  <c r="V279" i="1"/>
  <c r="V280" i="1" l="1"/>
  <c r="W279" i="1"/>
  <c r="V281" i="1" l="1"/>
  <c r="W280" i="1"/>
  <c r="W281" i="1" l="1"/>
  <c r="V282" i="1"/>
  <c r="W282" i="1" l="1"/>
  <c r="V283" i="1"/>
  <c r="W283" i="1" l="1"/>
  <c r="V284" i="1"/>
  <c r="W284" i="1" l="1"/>
  <c r="V285" i="1"/>
  <c r="V286" i="1" l="1"/>
  <c r="W285" i="1"/>
  <c r="V287" i="1" l="1"/>
  <c r="W286" i="1"/>
  <c r="V288" i="1" l="1"/>
  <c r="W287" i="1"/>
  <c r="W288" i="1" l="1"/>
  <c r="V289" i="1"/>
  <c r="V290" i="1" l="1"/>
  <c r="W289" i="1"/>
  <c r="W290" i="1" l="1"/>
  <c r="V291" i="1"/>
  <c r="V292" i="1" l="1"/>
  <c r="W291" i="1"/>
  <c r="V293" i="1" l="1"/>
  <c r="W292" i="1"/>
  <c r="W293" i="1" l="1"/>
  <c r="V294" i="1"/>
  <c r="W294" i="1" l="1"/>
  <c r="V295" i="1"/>
  <c r="W295" i="1" l="1"/>
  <c r="V296" i="1"/>
  <c r="W296" i="1" l="1"/>
  <c r="V297" i="1"/>
  <c r="W297" i="1" l="1"/>
  <c r="V298" i="1"/>
  <c r="W298" i="1" l="1"/>
  <c r="V299" i="1"/>
  <c r="V300" i="1" l="1"/>
  <c r="W299" i="1"/>
  <c r="V301" i="1" l="1"/>
  <c r="W300" i="1"/>
  <c r="W301" i="1" l="1"/>
  <c r="V302" i="1"/>
  <c r="V303" i="1" l="1"/>
  <c r="W302" i="1"/>
  <c r="V304" i="1" l="1"/>
  <c r="W303" i="1"/>
  <c r="W304" i="1" l="1"/>
  <c r="V305" i="1"/>
  <c r="W305" i="1" l="1"/>
  <c r="V306" i="1"/>
  <c r="V307" i="1" l="1"/>
  <c r="W306" i="1"/>
  <c r="W307" i="1" l="1"/>
  <c r="V308" i="1"/>
  <c r="V309" i="1" l="1"/>
  <c r="W308" i="1"/>
  <c r="W309" i="1" l="1"/>
  <c r="V310" i="1"/>
  <c r="W310" i="1" l="1"/>
  <c r="V311" i="1"/>
  <c r="W311" i="1" l="1"/>
  <c r="V312" i="1"/>
  <c r="W312" i="1" l="1"/>
  <c r="V313" i="1"/>
  <c r="W313" i="1" l="1"/>
  <c r="V314" i="1"/>
  <c r="W314" i="1" l="1"/>
  <c r="V315" i="1"/>
  <c r="V316" i="1" l="1"/>
  <c r="W315" i="1"/>
  <c r="W316" i="1" l="1"/>
  <c r="V317" i="1"/>
  <c r="W317" i="1" l="1"/>
  <c r="V318" i="1"/>
  <c r="W318" i="1" l="1"/>
  <c r="V319" i="1"/>
  <c r="V320" i="1" l="1"/>
  <c r="W319" i="1"/>
  <c r="W320" i="1" l="1"/>
  <c r="V321" i="1"/>
  <c r="V322" i="1" l="1"/>
  <c r="W321" i="1"/>
  <c r="W322" i="1" l="1"/>
  <c r="V323" i="1"/>
  <c r="W323" i="1" l="1"/>
  <c r="V324" i="1"/>
  <c r="V325" i="1" l="1"/>
  <c r="W324" i="1"/>
  <c r="W325" i="1" l="1"/>
  <c r="V326" i="1"/>
  <c r="W326" i="1" l="1"/>
  <c r="V327" i="1"/>
  <c r="W327" i="1" l="1"/>
  <c r="V328" i="1"/>
  <c r="W328" i="1" l="1"/>
  <c r="V329" i="1"/>
  <c r="V330" i="1" l="1"/>
  <c r="W329" i="1"/>
  <c r="W330" i="1" l="1"/>
  <c r="V331" i="1"/>
  <c r="W331" i="1" l="1"/>
  <c r="V332" i="1"/>
  <c r="W332" i="1" l="1"/>
  <c r="V333" i="1"/>
  <c r="W333" i="1" l="1"/>
  <c r="V334" i="1"/>
  <c r="W334" i="1" l="1"/>
  <c r="V335" i="1"/>
  <c r="V336" i="1" l="1"/>
  <c r="W335" i="1"/>
  <c r="W336" i="1" l="1"/>
  <c r="V337" i="1"/>
  <c r="W337" i="1" l="1"/>
  <c r="V338" i="1"/>
  <c r="W338" i="1" l="1"/>
  <c r="V339" i="1"/>
  <c r="W339" i="1" l="1"/>
  <c r="V340" i="1"/>
  <c r="V341" i="1" l="1"/>
  <c r="W340" i="1"/>
  <c r="W341" i="1" l="1"/>
  <c r="V342" i="1"/>
  <c r="W342" i="1" l="1"/>
  <c r="V343" i="1"/>
  <c r="V344" i="1" l="1"/>
  <c r="W343" i="1"/>
  <c r="W344" i="1" l="1"/>
  <c r="V345" i="1"/>
  <c r="W345" i="1" l="1"/>
  <c r="V346" i="1"/>
  <c r="W346" i="1" l="1"/>
  <c r="V347" i="1"/>
  <c r="W347" i="1" l="1"/>
  <c r="V348" i="1"/>
  <c r="W348" i="1" l="1"/>
  <c r="V349" i="1"/>
  <c r="V350" i="1" l="1"/>
  <c r="W349" i="1"/>
  <c r="V351" i="1" l="1"/>
  <c r="W350" i="1"/>
  <c r="V352" i="1" l="1"/>
  <c r="W351" i="1"/>
  <c r="V353" i="1" l="1"/>
  <c r="W352" i="1"/>
  <c r="V354" i="1" l="1"/>
  <c r="W353" i="1"/>
  <c r="W354" i="1" l="1"/>
  <c r="V355" i="1"/>
  <c r="W355" i="1" l="1"/>
  <c r="V356" i="1"/>
  <c r="V357" i="1" l="1"/>
  <c r="W356" i="1"/>
  <c r="W357" i="1" l="1"/>
  <c r="V358" i="1"/>
  <c r="W358" i="1" l="1"/>
  <c r="V359" i="1"/>
  <c r="W359" i="1" l="1"/>
  <c r="V360" i="1"/>
  <c r="V361" i="1" l="1"/>
  <c r="W360" i="1"/>
  <c r="W361" i="1" l="1"/>
  <c r="V362" i="1"/>
  <c r="W362" i="1" l="1"/>
  <c r="V363" i="1"/>
  <c r="W363" i="1" l="1"/>
  <c r="V364" i="1"/>
  <c r="V365" i="1" l="1"/>
  <c r="W364" i="1"/>
  <c r="W365" i="1" l="1"/>
  <c r="V366" i="1"/>
  <c r="W366" i="1" l="1"/>
  <c r="V367" i="1"/>
  <c r="V368" i="1" l="1"/>
  <c r="W367" i="1"/>
  <c r="W368" i="1" l="1"/>
  <c r="V369" i="1"/>
  <c r="V370" i="1" l="1"/>
  <c r="W369" i="1"/>
  <c r="W370" i="1" l="1"/>
  <c r="V371" i="1"/>
  <c r="V372" i="1" l="1"/>
  <c r="W371" i="1"/>
  <c r="V373" i="1" l="1"/>
  <c r="W372" i="1"/>
  <c r="W373" i="1" l="1"/>
  <c r="V374" i="1"/>
  <c r="W374" i="1" l="1"/>
  <c r="V375" i="1"/>
  <c r="W375" i="1" l="1"/>
  <c r="V376" i="1"/>
  <c r="W376" i="1" l="1"/>
  <c r="V377" i="1"/>
  <c r="V378" i="1" l="1"/>
  <c r="W377" i="1"/>
  <c r="W378" i="1" l="1"/>
  <c r="V379" i="1"/>
  <c r="W379" i="1" l="1"/>
  <c r="V380" i="1"/>
  <c r="W380" i="1" l="1"/>
  <c r="V381" i="1"/>
  <c r="W381" i="1" l="1"/>
  <c r="V382" i="1"/>
  <c r="W382" i="1" l="1"/>
  <c r="V383" i="1"/>
  <c r="V384" i="1" l="1"/>
  <c r="W383" i="1"/>
  <c r="W384" i="1" l="1"/>
  <c r="V385" i="1"/>
  <c r="V386" i="1" l="1"/>
  <c r="W385" i="1"/>
  <c r="W386" i="1" l="1"/>
  <c r="V387" i="1"/>
  <c r="W387" i="1" l="1"/>
  <c r="V388" i="1"/>
  <c r="V389" i="1" l="1"/>
  <c r="W388" i="1"/>
  <c r="W389" i="1" l="1"/>
  <c r="V390" i="1"/>
  <c r="W390" i="1" l="1"/>
  <c r="V391" i="1"/>
  <c r="V392" i="1" l="1"/>
  <c r="W391" i="1"/>
  <c r="V393" i="1" l="1"/>
  <c r="W392" i="1"/>
  <c r="W393" i="1" l="1"/>
  <c r="V394" i="1"/>
  <c r="W394" i="1" l="1"/>
  <c r="V395" i="1"/>
  <c r="W395" i="1" l="1"/>
  <c r="V396" i="1"/>
  <c r="W396" i="1" l="1"/>
  <c r="V397" i="1"/>
  <c r="W397" i="1" l="1"/>
  <c r="V398" i="1"/>
  <c r="V399" i="1" l="1"/>
  <c r="W398" i="1"/>
  <c r="V400" i="1" l="1"/>
  <c r="W400" i="1" s="1"/>
  <c r="W399" i="1"/>
</calcChain>
</file>

<file path=xl/sharedStrings.xml><?xml version="1.0" encoding="utf-8"?>
<sst xmlns="http://schemas.openxmlformats.org/spreadsheetml/2006/main" count="215" uniqueCount="134">
  <si>
    <t>Company:</t>
  </si>
  <si>
    <t>Job Number:</t>
  </si>
  <si>
    <t>Calculation Method</t>
  </si>
  <si>
    <t>Minimum Curvature</t>
  </si>
  <si>
    <t>Well:</t>
  </si>
  <si>
    <t>Proposed Azimuth</t>
  </si>
  <si>
    <t>Radius of Curvature</t>
  </si>
  <si>
    <t>Location:</t>
  </si>
  <si>
    <t xml:space="preserve"> </t>
  </si>
  <si>
    <t>Depth Reference</t>
  </si>
  <si>
    <t>Average Angle</t>
  </si>
  <si>
    <t>Rig:</t>
  </si>
  <si>
    <t>Tie Into:</t>
  </si>
  <si>
    <t xml:space="preserve">Survey </t>
  </si>
  <si>
    <t>Survey</t>
  </si>
  <si>
    <t>Inclina-</t>
  </si>
  <si>
    <t>Course</t>
  </si>
  <si>
    <t>True Vertical</t>
  </si>
  <si>
    <t>Vertical</t>
  </si>
  <si>
    <t>Coordinates</t>
  </si>
  <si>
    <t>Closure</t>
  </si>
  <si>
    <t>Dogleg</t>
  </si>
  <si>
    <t>Build</t>
  </si>
  <si>
    <t>Walk</t>
  </si>
  <si>
    <t>Number</t>
  </si>
  <si>
    <t>Depth</t>
  </si>
  <si>
    <t>tion</t>
  </si>
  <si>
    <t>Azimuth</t>
  </si>
  <si>
    <t>Length</t>
  </si>
  <si>
    <t>Section</t>
  </si>
  <si>
    <t>N/S</t>
  </si>
  <si>
    <t>E/W</t>
  </si>
  <si>
    <t>Distance</t>
  </si>
  <si>
    <t>Direction</t>
  </si>
  <si>
    <t>Severity</t>
  </si>
  <si>
    <t>Rate</t>
  </si>
  <si>
    <t>(ft)</t>
  </si>
  <si>
    <t>(deg)</t>
  </si>
  <si>
    <t>(d/100')</t>
  </si>
  <si>
    <t>N</t>
  </si>
  <si>
    <t>E</t>
  </si>
  <si>
    <t>dl</t>
  </si>
  <si>
    <t>rf</t>
  </si>
  <si>
    <t>Dir Driller:</t>
  </si>
  <si>
    <t xml:space="preserve">Tie In </t>
  </si>
  <si>
    <t>Job Date:</t>
  </si>
  <si>
    <t>Gyro Survey</t>
  </si>
  <si>
    <t>Previous MWD Survey</t>
  </si>
  <si>
    <t>Assumed Vertical</t>
  </si>
  <si>
    <t>Previous Well</t>
  </si>
  <si>
    <t>Mag (Grid):</t>
  </si>
  <si>
    <t xml:space="preserve"> | Survey Depth: </t>
  </si>
  <si>
    <t xml:space="preserve"> | Inc: </t>
  </si>
  <si>
    <t xml:space="preserve"> | Azm: </t>
  </si>
  <si>
    <t xml:space="preserve"> | TVD: </t>
  </si>
  <si>
    <t xml:space="preserve"> | VSEC:  </t>
  </si>
  <si>
    <t>*Copy Survey line and Projection line on Survey Sheet, To Paste: right click in green box, Paste Special Values</t>
  </si>
  <si>
    <t xml:space="preserve"> | DLS: </t>
  </si>
  <si>
    <t>DO NOT TOUCH!!!!!</t>
  </si>
  <si>
    <t>SUBJECT:</t>
  </si>
  <si>
    <t>INC:</t>
  </si>
  <si>
    <t>AZM:</t>
  </si>
  <si>
    <t>TVD:</t>
  </si>
  <si>
    <t>N/S:</t>
  </si>
  <si>
    <t>E/W:</t>
  </si>
  <si>
    <t>VS:</t>
  </si>
  <si>
    <t>DLS:</t>
  </si>
  <si>
    <t>Email ("CC" Line)</t>
  </si>
  <si>
    <t>Email ("To" Line)</t>
  </si>
  <si>
    <t>Type or Paste your distribution list here | When you compose the email it should auto Populate | Only type in the blue cells</t>
  </si>
  <si>
    <t>MD:</t>
  </si>
  <si>
    <t>Pason Survey Memo</t>
  </si>
  <si>
    <t xml:space="preserve"> Survey @ </t>
  </si>
  <si>
    <t xml:space="preserve"> INC: </t>
  </si>
  <si>
    <t xml:space="preserve"> AZM: </t>
  </si>
  <si>
    <t xml:space="preserve"> TVD: </t>
  </si>
  <si>
    <t>Lateral</t>
  </si>
  <si>
    <t>Current Plan: #</t>
  </si>
  <si>
    <t>MY:</t>
  </si>
  <si>
    <t>BRN:</t>
  </si>
  <si>
    <t>Slide Seen:</t>
  </si>
  <si>
    <t>Slide Ahead:</t>
  </si>
  <si>
    <t>Above/Below</t>
  </si>
  <si>
    <t>Right/Left</t>
  </si>
  <si>
    <t>no</t>
  </si>
  <si>
    <t>Projection to Bit</t>
  </si>
  <si>
    <t>Surface</t>
  </si>
  <si>
    <t>Curve</t>
  </si>
  <si>
    <t>Pason Note</t>
  </si>
  <si>
    <t>File Directory:</t>
  </si>
  <si>
    <t>Click the folder icon and Navigate to your current well e-mail folder</t>
  </si>
  <si>
    <t>Type "no" without quotations in yellow boxes to hide from survey template</t>
  </si>
  <si>
    <t>MAGNETIC SPACING CHART</t>
  </si>
  <si>
    <t>Bearing North or South (Uncorrected for Declination)</t>
  </si>
  <si>
    <t>M</t>
  </si>
  <si>
    <t>A</t>
  </si>
  <si>
    <t>X</t>
  </si>
  <si>
    <t>I</t>
  </si>
  <si>
    <t>U</t>
  </si>
  <si>
    <t>C</t>
  </si>
  <si>
    <t>L</t>
  </si>
  <si>
    <t>T</t>
  </si>
  <si>
    <t>O</t>
  </si>
  <si>
    <t>ITALICS = SPACING IN FEET, ABOVE THE MWD SENSOR</t>
  </si>
  <si>
    <t>BOLD = SPACING IN FEET, BELOW THE MWD SENSOR</t>
  </si>
  <si>
    <t>SVY:</t>
  </si>
  <si>
    <t>BIT:</t>
  </si>
  <si>
    <t xml:space="preserve">MD: </t>
  </si>
  <si>
    <t xml:space="preserve"> AZI: </t>
  </si>
  <si>
    <t xml:space="preserve"> VS: </t>
  </si>
  <si>
    <t>Window Target:</t>
  </si>
  <si>
    <t>10' Below / 10' Above</t>
  </si>
  <si>
    <t>40 Left / 40 Right</t>
  </si>
  <si>
    <t>Change  &gt;&gt;&gt;</t>
  </si>
  <si>
    <t>MWD:</t>
  </si>
  <si>
    <t>Jake</t>
  </si>
  <si>
    <t>DSM_Rig9@oxy.com</t>
  </si>
  <si>
    <t xml:space="preserve"> rig9@pfs.energy</t>
  </si>
  <si>
    <t>roger.dubose@pfs.energy</t>
  </si>
  <si>
    <t>delawaredrl_surveys@oxyinc.onmicrosoft.com</t>
  </si>
  <si>
    <t xml:space="preserve">OXY USA Permian Resources </t>
  </si>
  <si>
    <t>surveys@trueshotllc.com</t>
  </si>
  <si>
    <t>Primo #9</t>
  </si>
  <si>
    <t>N/A</t>
  </si>
  <si>
    <t>Circ Hrs:</t>
  </si>
  <si>
    <t>Surveys are Not Corrected</t>
  </si>
  <si>
    <t>Casper State 57-1-47-11 M 74HA</t>
  </si>
  <si>
    <t>Reeves County, Texas</t>
  </si>
  <si>
    <t>03-1-26-6306</t>
  </si>
  <si>
    <t>W</t>
  </si>
  <si>
    <t>Proj.</t>
  </si>
  <si>
    <t>07/1/2023 - 07/02/2026</t>
  </si>
  <si>
    <t>S</t>
  </si>
  <si>
    <t>C:\Users\Command Center\OneDrive - True Shot, LLC\Command Center\Jobs\2026\OXY\HP 396 # 9\Casper State 57-1-47-11 PAD 2\03-1-26-6306 Casper State 57-1-47-11 M 74HA\Survey Report\email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</si>
</sst>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"/>
    <numFmt numFmtId="165" formatCode="0;\-0;;@"/>
    <numFmt numFmtId="166" formatCode="0.0"/>
  </numFmts>
  <fonts count="37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sz val="10"/>
      <name val="Arial"/>
      <family val="2"/>
    </font>
    <font>
      <sz val="9"/>
      <color indexed="8"/>
      <name val="Verdana"/>
      <family val="2"/>
    </font>
    <font>
      <sz val="11"/>
      <name val="Arial"/>
      <family val="2"/>
    </font>
    <font>
      <sz val="9"/>
      <name val="Arial"/>
      <family val="2"/>
    </font>
    <font>
      <b/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u/>
      <sz val="10"/>
      <color theme="10"/>
      <name val="Arial"/>
      <family val="2"/>
    </font>
    <font>
      <b/>
      <sz val="14"/>
      <color rgb="FFFF000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b/>
      <sz val="16"/>
      <color indexed="8"/>
      <name val="Calibri"/>
      <family val="2"/>
    </font>
    <font>
      <sz val="11"/>
      <color indexed="62"/>
      <name val="Calibri"/>
      <family val="2"/>
    </font>
    <font>
      <u/>
      <sz val="8.5"/>
      <color indexed="12"/>
      <name val="Arial"/>
      <family val="2"/>
    </font>
    <font>
      <b/>
      <sz val="14"/>
      <color indexed="8"/>
      <name val="Calibri"/>
      <family val="2"/>
    </font>
    <font>
      <b/>
      <sz val="12"/>
      <color indexed="8"/>
      <name val="Calibri"/>
      <family val="2"/>
    </font>
    <font>
      <sz val="22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4"/>
      <color rgb="FF000000"/>
      <name val="Arial"/>
      <family val="2"/>
    </font>
    <font>
      <b/>
      <sz val="12"/>
      <color theme="1"/>
      <name val="Arial"/>
      <family val="2"/>
    </font>
    <font>
      <i/>
      <sz val="10"/>
      <name val="Arial"/>
      <family val="2"/>
    </font>
    <font>
      <b/>
      <sz val="7"/>
      <name val="Arial Black"/>
      <family val="2"/>
    </font>
    <font>
      <sz val="7"/>
      <name val="Arial"/>
      <family val="2"/>
    </font>
    <font>
      <b/>
      <u/>
      <sz val="14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65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887BF"/>
        <bgColor indexed="64"/>
      </patternFill>
    </fill>
    <fill>
      <patternFill patternType="solid">
        <fgColor indexed="47"/>
      </patternFill>
    </fill>
    <fill>
      <patternFill patternType="solid">
        <fgColor rgb="FF67A2D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7">
    <xf numFmtId="0" fontId="0" fillId="0" borderId="0"/>
    <xf numFmtId="0" fontId="3" fillId="0" borderId="0"/>
    <xf numFmtId="0" fontId="16" fillId="0" borderId="0" applyNumberFormat="0" applyFill="0" applyBorder="0" applyAlignment="0" applyProtection="0"/>
    <xf numFmtId="0" fontId="20" fillId="0" borderId="0"/>
    <xf numFmtId="0" fontId="22" fillId="8" borderId="27" applyNumberFormat="0" applyAlignment="0" applyProtection="0"/>
    <xf numFmtId="0" fontId="23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/>
    <xf numFmtId="9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2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1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</cellStyleXfs>
  <cellXfs count="254">
    <xf numFmtId="0" fontId="0" fillId="0" borderId="0" xfId="0"/>
    <xf numFmtId="0" fontId="0" fillId="2" borderId="0" xfId="0" applyFill="1" applyProtection="1">
      <protection locked="0"/>
    </xf>
    <xf numFmtId="1" fontId="0" fillId="2" borderId="1" xfId="0" applyNumberFormat="1" applyFill="1" applyBorder="1" applyProtection="1"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Alignment="1" applyProtection="1">
      <alignment horizontal="right"/>
      <protection locked="0"/>
    </xf>
    <xf numFmtId="0" fontId="4" fillId="2" borderId="1" xfId="0" applyFont="1" applyFill="1" applyBorder="1"/>
    <xf numFmtId="0" fontId="0" fillId="2" borderId="3" xfId="0" applyFill="1" applyBorder="1" applyProtection="1">
      <protection locked="0"/>
    </xf>
    <xf numFmtId="2" fontId="4" fillId="2" borderId="1" xfId="0" applyNumberFormat="1" applyFont="1" applyFill="1" applyBorder="1" applyProtection="1">
      <protection locked="0"/>
    </xf>
    <xf numFmtId="2" fontId="4" fillId="2" borderId="4" xfId="0" applyNumberFormat="1" applyFont="1" applyFill="1" applyBorder="1" applyProtection="1">
      <protection locked="0"/>
    </xf>
    <xf numFmtId="1" fontId="0" fillId="2" borderId="0" xfId="0" applyNumberFormat="1" applyFill="1" applyProtection="1">
      <protection locked="0"/>
    </xf>
    <xf numFmtId="0" fontId="5" fillId="2" borderId="0" xfId="0" applyFont="1" applyFill="1" applyAlignment="1" applyProtection="1">
      <alignment horizontal="left"/>
      <protection locked="0"/>
    </xf>
    <xf numFmtId="0" fontId="5" fillId="2" borderId="0" xfId="0" applyFont="1" applyFill="1" applyProtection="1">
      <protection locked="0"/>
    </xf>
    <xf numFmtId="22" fontId="0" fillId="2" borderId="0" xfId="0" applyNumberFormat="1" applyFill="1" applyProtection="1">
      <protection locked="0"/>
    </xf>
    <xf numFmtId="0" fontId="4" fillId="2" borderId="0" xfId="0" applyFont="1" applyFill="1" applyProtection="1">
      <protection locked="0"/>
    </xf>
    <xf numFmtId="1" fontId="0" fillId="2" borderId="1" xfId="0" applyNumberFormat="1" applyFill="1" applyBorder="1"/>
    <xf numFmtId="0" fontId="0" fillId="2" borderId="0" xfId="0" applyFill="1"/>
    <xf numFmtId="1" fontId="0" fillId="2" borderId="0" xfId="0" applyNumberFormat="1" applyFill="1"/>
    <xf numFmtId="0" fontId="5" fillId="2" borderId="0" xfId="0" applyFont="1" applyFill="1" applyAlignment="1">
      <alignment horizontal="right"/>
    </xf>
    <xf numFmtId="0" fontId="8" fillId="2" borderId="0" xfId="0" applyFont="1" applyFill="1"/>
    <xf numFmtId="0" fontId="0" fillId="2" borderId="0" xfId="0" applyFill="1" applyAlignment="1">
      <alignment horizontal="right"/>
    </xf>
    <xf numFmtId="0" fontId="4" fillId="2" borderId="0" xfId="0" applyFont="1" applyFill="1" applyAlignment="1">
      <alignment horizontal="right"/>
    </xf>
    <xf numFmtId="0" fontId="0" fillId="2" borderId="5" xfId="0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Continuous"/>
    </xf>
    <xf numFmtId="0" fontId="0" fillId="2" borderId="8" xfId="0" applyFill="1" applyBorder="1" applyAlignment="1">
      <alignment horizontal="centerContinuous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11" xfId="0" applyNumberFormat="1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1" fontId="0" fillId="2" borderId="15" xfId="0" applyNumberFormat="1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2" fillId="2" borderId="18" xfId="0" applyFont="1" applyFill="1" applyBorder="1" applyAlignment="1">
      <alignment horizontal="left"/>
    </xf>
    <xf numFmtId="1" fontId="0" fillId="2" borderId="6" xfId="0" applyNumberFormat="1" applyFill="1" applyBorder="1" applyAlignment="1">
      <alignment horizontal="centerContinuous"/>
    </xf>
    <xf numFmtId="0" fontId="0" fillId="2" borderId="9" xfId="0" applyFill="1" applyBorder="1" applyAlignment="1">
      <alignment horizontal="centerContinuous"/>
    </xf>
    <xf numFmtId="164" fontId="0" fillId="2" borderId="0" xfId="0" applyNumberFormat="1" applyFill="1"/>
    <xf numFmtId="2" fontId="0" fillId="2" borderId="1" xfId="0" applyNumberFormat="1" applyFill="1" applyBorder="1" applyAlignment="1">
      <alignment horizontal="right"/>
    </xf>
    <xf numFmtId="0" fontId="0" fillId="2" borderId="1" xfId="0" applyFill="1" applyBorder="1"/>
    <xf numFmtId="2" fontId="0" fillId="2" borderId="4" xfId="0" applyNumberFormat="1" applyFill="1" applyBorder="1" applyAlignment="1">
      <alignment horizontal="right"/>
    </xf>
    <xf numFmtId="2" fontId="0" fillId="2" borderId="2" xfId="0" applyNumberFormat="1" applyFill="1" applyBorder="1" applyAlignment="1">
      <alignment horizontal="center"/>
    </xf>
    <xf numFmtId="2" fontId="0" fillId="2" borderId="1" xfId="0" applyNumberFormat="1" applyFill="1" applyBorder="1" applyAlignment="1" applyProtection="1">
      <alignment horizontal="right"/>
      <protection locked="0"/>
    </xf>
    <xf numFmtId="0" fontId="3" fillId="4" borderId="5" xfId="1" applyFill="1" applyBorder="1" applyAlignment="1">
      <alignment horizontal="center"/>
    </xf>
    <xf numFmtId="1" fontId="3" fillId="4" borderId="6" xfId="1" applyNumberFormat="1" applyFill="1" applyBorder="1" applyAlignment="1">
      <alignment horizontal="center"/>
    </xf>
    <xf numFmtId="0" fontId="3" fillId="4" borderId="7" xfId="1" applyFill="1" applyBorder="1" applyAlignment="1">
      <alignment horizontal="center"/>
    </xf>
    <xf numFmtId="0" fontId="3" fillId="4" borderId="6" xfId="1" applyFill="1" applyBorder="1" applyAlignment="1">
      <alignment horizontal="center"/>
    </xf>
    <xf numFmtId="1" fontId="3" fillId="4" borderId="7" xfId="1" applyNumberFormat="1" applyFill="1" applyBorder="1" applyAlignment="1">
      <alignment horizontal="center"/>
    </xf>
    <xf numFmtId="0" fontId="3" fillId="4" borderId="6" xfId="1" applyFill="1" applyBorder="1" applyAlignment="1">
      <alignment horizontal="centerContinuous"/>
    </xf>
    <xf numFmtId="0" fontId="3" fillId="4" borderId="8" xfId="1" applyFill="1" applyBorder="1" applyAlignment="1">
      <alignment horizontal="centerContinuous"/>
    </xf>
    <xf numFmtId="0" fontId="3" fillId="4" borderId="9" xfId="1" applyFill="1" applyBorder="1" applyAlignment="1">
      <alignment horizontal="center"/>
    </xf>
    <xf numFmtId="0" fontId="12" fillId="5" borderId="20" xfId="1" applyFont="1" applyFill="1" applyBorder="1" applyAlignment="1">
      <alignment horizontal="center"/>
    </xf>
    <xf numFmtId="0" fontId="3" fillId="4" borderId="10" xfId="1" applyFill="1" applyBorder="1" applyAlignment="1">
      <alignment horizontal="center"/>
    </xf>
    <xf numFmtId="1" fontId="3" fillId="4" borderId="0" xfId="1" applyNumberFormat="1" applyFill="1" applyAlignment="1">
      <alignment horizontal="center"/>
    </xf>
    <xf numFmtId="0" fontId="3" fillId="4" borderId="11" xfId="1" applyFill="1" applyBorder="1" applyAlignment="1">
      <alignment horizontal="center"/>
    </xf>
    <xf numFmtId="0" fontId="3" fillId="4" borderId="0" xfId="1" applyFill="1" applyAlignment="1">
      <alignment horizontal="center"/>
    </xf>
    <xf numFmtId="1" fontId="3" fillId="4" borderId="11" xfId="1" applyNumberFormat="1" applyFill="1" applyBorder="1" applyAlignment="1">
      <alignment horizontal="center"/>
    </xf>
    <xf numFmtId="0" fontId="3" fillId="4" borderId="12" xfId="1" applyFill="1" applyBorder="1" applyAlignment="1">
      <alignment horizontal="center"/>
    </xf>
    <xf numFmtId="0" fontId="3" fillId="4" borderId="13" xfId="1" applyFill="1" applyBorder="1" applyAlignment="1">
      <alignment horizontal="center"/>
    </xf>
    <xf numFmtId="0" fontId="0" fillId="5" borderId="0" xfId="0" applyFill="1"/>
    <xf numFmtId="0" fontId="3" fillId="4" borderId="14" xfId="1" applyFill="1" applyBorder="1" applyAlignment="1">
      <alignment horizontal="center"/>
    </xf>
    <xf numFmtId="1" fontId="3" fillId="4" borderId="3" xfId="1" applyNumberFormat="1" applyFill="1" applyBorder="1" applyAlignment="1">
      <alignment horizontal="center"/>
    </xf>
    <xf numFmtId="0" fontId="3" fillId="4" borderId="15" xfId="1" applyFill="1" applyBorder="1" applyAlignment="1">
      <alignment horizontal="center"/>
    </xf>
    <xf numFmtId="0" fontId="3" fillId="4" borderId="3" xfId="1" applyFill="1" applyBorder="1" applyAlignment="1">
      <alignment horizontal="center"/>
    </xf>
    <xf numFmtId="1" fontId="3" fillId="4" borderId="15" xfId="1" applyNumberFormat="1" applyFill="1" applyBorder="1" applyAlignment="1">
      <alignment horizontal="center"/>
    </xf>
    <xf numFmtId="0" fontId="3" fillId="4" borderId="16" xfId="1" applyFill="1" applyBorder="1" applyAlignment="1">
      <alignment horizontal="center"/>
    </xf>
    <xf numFmtId="0" fontId="3" fillId="4" borderId="17" xfId="1" applyFill="1" applyBorder="1" applyAlignment="1">
      <alignment horizontal="center"/>
    </xf>
    <xf numFmtId="0" fontId="3" fillId="2" borderId="1" xfId="0" applyFont="1" applyFill="1" applyBorder="1"/>
    <xf numFmtId="0" fontId="0" fillId="4" borderId="0" xfId="0" applyFill="1"/>
    <xf numFmtId="0" fontId="21" fillId="0" borderId="0" xfId="3" applyFont="1"/>
    <xf numFmtId="0" fontId="22" fillId="9" borderId="27" xfId="4" applyFill="1" applyProtection="1">
      <protection locked="0"/>
    </xf>
    <xf numFmtId="0" fontId="23" fillId="9" borderId="27" xfId="5" applyFill="1" applyBorder="1" applyAlignment="1" applyProtection="1">
      <protection locked="0"/>
    </xf>
    <xf numFmtId="0" fontId="23" fillId="9" borderId="27" xfId="5" applyFill="1" applyBorder="1" applyAlignment="1" applyProtection="1">
      <alignment wrapText="1"/>
      <protection locked="0"/>
    </xf>
    <xf numFmtId="0" fontId="23" fillId="9" borderId="27" xfId="5" quotePrefix="1" applyFill="1" applyBorder="1" applyAlignment="1" applyProtection="1">
      <alignment wrapText="1"/>
      <protection locked="0"/>
    </xf>
    <xf numFmtId="0" fontId="23" fillId="9" borderId="27" xfId="5" quotePrefix="1" applyFill="1" applyBorder="1" applyAlignment="1" applyProtection="1">
      <protection locked="0"/>
    </xf>
    <xf numFmtId="0" fontId="23" fillId="0" borderId="0" xfId="5" applyAlignment="1" applyProtection="1">
      <alignment vertical="center"/>
    </xf>
    <xf numFmtId="0" fontId="23" fillId="9" borderId="28" xfId="5" applyFill="1" applyBorder="1" applyAlignment="1" applyProtection="1">
      <alignment vertical="center"/>
    </xf>
    <xf numFmtId="0" fontId="24" fillId="0" borderId="0" xfId="1" applyFont="1" applyAlignment="1">
      <alignment horizontal="center" vertical="center"/>
    </xf>
    <xf numFmtId="0" fontId="24" fillId="0" borderId="0" xfId="1" applyFont="1" applyAlignment="1">
      <alignment horizontal="center"/>
    </xf>
    <xf numFmtId="0" fontId="16" fillId="9" borderId="27" xfId="2" applyFill="1" applyBorder="1" applyAlignment="1" applyProtection="1">
      <protection locked="0"/>
    </xf>
    <xf numFmtId="0" fontId="3" fillId="0" borderId="0" xfId="0" applyFont="1"/>
    <xf numFmtId="0" fontId="0" fillId="0" borderId="0" xfId="0" applyAlignment="1">
      <alignment horizontal="right"/>
    </xf>
    <xf numFmtId="0" fontId="3" fillId="2" borderId="3" xfId="0" applyFont="1" applyFill="1" applyBorder="1" applyAlignment="1" applyProtection="1">
      <alignment horizontal="right"/>
      <protection locked="0"/>
    </xf>
    <xf numFmtId="0" fontId="16" fillId="0" borderId="0" xfId="2"/>
    <xf numFmtId="1" fontId="17" fillId="0" borderId="0" xfId="0" applyNumberFormat="1" applyFont="1" applyAlignment="1">
      <alignment vertical="center"/>
    </xf>
    <xf numFmtId="0" fontId="18" fillId="0" borderId="0" xfId="0" applyFont="1" applyAlignment="1">
      <alignment vertical="center" wrapText="1"/>
    </xf>
    <xf numFmtId="0" fontId="17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0" fillId="6" borderId="23" xfId="0" applyFill="1" applyBorder="1"/>
    <xf numFmtId="2" fontId="0" fillId="0" borderId="21" xfId="0" applyNumberFormat="1" applyBorder="1"/>
    <xf numFmtId="0" fontId="0" fillId="0" borderId="19" xfId="0" applyBorder="1"/>
    <xf numFmtId="0" fontId="0" fillId="0" borderId="22" xfId="0" applyBorder="1"/>
    <xf numFmtId="0" fontId="0" fillId="4" borderId="29" xfId="0" applyFill="1" applyBorder="1"/>
    <xf numFmtId="0" fontId="0" fillId="4" borderId="30" xfId="0" applyFill="1" applyBorder="1"/>
    <xf numFmtId="0" fontId="0" fillId="0" borderId="30" xfId="0" applyBorder="1" applyAlignment="1">
      <alignment horizontal="right"/>
    </xf>
    <xf numFmtId="0" fontId="0" fillId="0" borderId="30" xfId="0" applyBorder="1"/>
    <xf numFmtId="0" fontId="0" fillId="4" borderId="31" xfId="0" applyFill="1" applyBorder="1"/>
    <xf numFmtId="0" fontId="0" fillId="0" borderId="32" xfId="0" applyBorder="1"/>
    <xf numFmtId="0" fontId="0" fillId="4" borderId="33" xfId="0" applyFill="1" applyBorder="1"/>
    <xf numFmtId="0" fontId="0" fillId="0" borderId="34" xfId="0" applyBorder="1"/>
    <xf numFmtId="0" fontId="0" fillId="0" borderId="35" xfId="0" applyBorder="1"/>
    <xf numFmtId="0" fontId="0" fillId="4" borderId="36" xfId="0" applyFill="1" applyBorder="1"/>
    <xf numFmtId="0" fontId="2" fillId="10" borderId="20" xfId="0" applyFont="1" applyFill="1" applyBorder="1" applyAlignment="1">
      <alignment horizontal="center" shrinkToFit="1"/>
    </xf>
    <xf numFmtId="0" fontId="2" fillId="10" borderId="20" xfId="0" applyFont="1" applyFill="1" applyBorder="1" applyAlignment="1">
      <alignment horizontal="center" vertical="center" shrinkToFit="1"/>
    </xf>
    <xf numFmtId="0" fontId="2" fillId="10" borderId="20" xfId="0" applyFont="1" applyFill="1" applyBorder="1" applyAlignment="1">
      <alignment horizontal="center" vertical="center"/>
    </xf>
    <xf numFmtId="0" fontId="3" fillId="12" borderId="39" xfId="0" applyFont="1" applyFill="1" applyBorder="1" applyAlignment="1">
      <alignment horizontal="center"/>
    </xf>
    <xf numFmtId="0" fontId="3" fillId="12" borderId="40" xfId="0" applyFont="1" applyFill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3" fillId="4" borderId="42" xfId="0" applyFont="1" applyFill="1" applyBorder="1" applyAlignment="1">
      <alignment horizontal="center" vertical="center"/>
    </xf>
    <xf numFmtId="0" fontId="3" fillId="12" borderId="43" xfId="0" applyFont="1" applyFill="1" applyBorder="1" applyAlignment="1">
      <alignment horizontal="center"/>
    </xf>
    <xf numFmtId="0" fontId="3" fillId="0" borderId="17" xfId="0" applyFont="1" applyBorder="1" applyAlignment="1">
      <alignment horizontal="center" vertical="center"/>
    </xf>
    <xf numFmtId="0" fontId="28" fillId="11" borderId="43" xfId="0" applyFont="1" applyFill="1" applyBorder="1" applyAlignment="1">
      <alignment horizontal="center" shrinkToFit="1"/>
    </xf>
    <xf numFmtId="0" fontId="3" fillId="0" borderId="46" xfId="0" applyFont="1" applyBorder="1" applyAlignment="1">
      <alignment horizontal="center"/>
    </xf>
    <xf numFmtId="0" fontId="3" fillId="0" borderId="26" xfId="0" applyFont="1" applyBorder="1" applyAlignment="1">
      <alignment horizontal="center" vertical="center"/>
    </xf>
    <xf numFmtId="0" fontId="3" fillId="4" borderId="44" xfId="0" applyFont="1" applyFill="1" applyBorder="1" applyAlignment="1">
      <alignment horizontal="center" shrinkToFit="1"/>
    </xf>
    <xf numFmtId="0" fontId="3" fillId="4" borderId="45" xfId="0" applyFont="1" applyFill="1" applyBorder="1" applyAlignment="1">
      <alignment horizontal="center" shrinkToFit="1"/>
    </xf>
    <xf numFmtId="0" fontId="0" fillId="13" borderId="21" xfId="0" applyFill="1" applyBorder="1"/>
    <xf numFmtId="0" fontId="2" fillId="13" borderId="38" xfId="0" applyFont="1" applyFill="1" applyBorder="1" applyAlignment="1">
      <alignment horizontal="center" vertical="center"/>
    </xf>
    <xf numFmtId="0" fontId="15" fillId="13" borderId="38" xfId="0" applyFont="1" applyFill="1" applyBorder="1" applyAlignment="1">
      <alignment horizontal="center" vertical="center"/>
    </xf>
    <xf numFmtId="165" fontId="29" fillId="13" borderId="47" xfId="0" applyNumberFormat="1" applyFont="1" applyFill="1" applyBorder="1" applyAlignment="1">
      <alignment horizontal="center" vertical="center"/>
    </xf>
    <xf numFmtId="0" fontId="29" fillId="13" borderId="9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7" fillId="0" borderId="0" xfId="0" applyFont="1" applyAlignment="1">
      <alignment vertical="center"/>
    </xf>
    <xf numFmtId="0" fontId="0" fillId="7" borderId="0" xfId="0" applyFill="1"/>
    <xf numFmtId="0" fontId="19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3" fillId="15" borderId="47" xfId="0" applyFont="1" applyFill="1" applyBorder="1" applyAlignment="1">
      <alignment horizontal="center"/>
    </xf>
    <xf numFmtId="0" fontId="3" fillId="0" borderId="0" xfId="6"/>
    <xf numFmtId="0" fontId="2" fillId="0" borderId="0" xfId="6" applyFont="1" applyAlignment="1">
      <alignment horizontal="center"/>
    </xf>
    <xf numFmtId="0" fontId="3" fillId="13" borderId="47" xfId="6" applyFill="1" applyBorder="1" applyAlignment="1">
      <alignment horizontal="center"/>
    </xf>
    <xf numFmtId="0" fontId="3" fillId="0" borderId="18" xfId="6" applyBorder="1" applyAlignment="1">
      <alignment horizontal="center" vertical="center"/>
    </xf>
    <xf numFmtId="0" fontId="31" fillId="14" borderId="42" xfId="6" applyFont="1" applyFill="1" applyBorder="1" applyAlignment="1">
      <alignment horizontal="center" vertical="center"/>
    </xf>
    <xf numFmtId="0" fontId="31" fillId="14" borderId="54" xfId="6" applyFont="1" applyFill="1" applyBorder="1" applyAlignment="1">
      <alignment horizontal="center" vertical="center"/>
    </xf>
    <xf numFmtId="0" fontId="31" fillId="14" borderId="40" xfId="6" applyFont="1" applyFill="1" applyBorder="1" applyAlignment="1">
      <alignment horizontal="center" vertical="center"/>
    </xf>
    <xf numFmtId="0" fontId="2" fillId="16" borderId="37" xfId="6" applyFont="1" applyFill="1" applyBorder="1" applyAlignment="1">
      <alignment horizontal="center" vertical="center"/>
    </xf>
    <xf numFmtId="0" fontId="2" fillId="17" borderId="55" xfId="6" applyFont="1" applyFill="1" applyBorder="1" applyAlignment="1">
      <alignment horizontal="center" vertical="center"/>
    </xf>
    <xf numFmtId="0" fontId="2" fillId="17" borderId="1" xfId="6" applyFont="1" applyFill="1" applyBorder="1" applyAlignment="1">
      <alignment horizontal="center" vertical="center"/>
    </xf>
    <xf numFmtId="0" fontId="2" fillId="17" borderId="44" xfId="6" applyFont="1" applyFill="1" applyBorder="1" applyAlignment="1">
      <alignment horizontal="center" vertical="center"/>
    </xf>
    <xf numFmtId="0" fontId="31" fillId="14" borderId="55" xfId="6" applyFont="1" applyFill="1" applyBorder="1" applyAlignment="1">
      <alignment horizontal="center" vertical="center"/>
    </xf>
    <xf numFmtId="0" fontId="31" fillId="14" borderId="1" xfId="6" applyFont="1" applyFill="1" applyBorder="1" applyAlignment="1">
      <alignment horizontal="center" vertical="center"/>
    </xf>
    <xf numFmtId="0" fontId="31" fillId="14" borderId="44" xfId="6" applyFont="1" applyFill="1" applyBorder="1" applyAlignment="1">
      <alignment horizontal="center" vertical="center"/>
    </xf>
    <xf numFmtId="0" fontId="2" fillId="17" borderId="41" xfId="6" applyFont="1" applyFill="1" applyBorder="1" applyAlignment="1">
      <alignment horizontal="center" vertical="center"/>
    </xf>
    <xf numFmtId="0" fontId="2" fillId="17" borderId="48" xfId="6" applyFont="1" applyFill="1" applyBorder="1" applyAlignment="1">
      <alignment horizontal="center" vertical="center"/>
    </xf>
    <xf numFmtId="0" fontId="2" fillId="17" borderId="49" xfId="6" applyFont="1" applyFill="1" applyBorder="1" applyAlignment="1">
      <alignment horizontal="center" vertical="center"/>
    </xf>
    <xf numFmtId="0" fontId="3" fillId="0" borderId="6" xfId="6" applyBorder="1"/>
    <xf numFmtId="0" fontId="2" fillId="10" borderId="22" xfId="0" applyFont="1" applyFill="1" applyBorder="1" applyAlignment="1">
      <alignment horizontal="right" vertical="center" shrinkToFit="1"/>
    </xf>
    <xf numFmtId="0" fontId="2" fillId="10" borderId="20" xfId="0" applyFont="1" applyFill="1" applyBorder="1" applyAlignment="1">
      <alignment horizontal="right" vertical="center" shrinkToFit="1"/>
    </xf>
    <xf numFmtId="0" fontId="3" fillId="7" borderId="0" xfId="0" applyFont="1" applyFill="1" applyAlignment="1">
      <alignment vertical="top"/>
    </xf>
    <xf numFmtId="0" fontId="0" fillId="7" borderId="0" xfId="0" applyFill="1" applyAlignment="1">
      <alignment vertical="top"/>
    </xf>
    <xf numFmtId="0" fontId="27" fillId="7" borderId="0" xfId="0" applyFont="1" applyFill="1" applyAlignment="1">
      <alignment vertical="center"/>
    </xf>
    <xf numFmtId="0" fontId="3" fillId="7" borderId="0" xfId="0" applyFont="1" applyFill="1"/>
    <xf numFmtId="0" fontId="3" fillId="11" borderId="45" xfId="0" applyFont="1" applyFill="1" applyBorder="1" applyAlignment="1">
      <alignment horizontal="center" vertical="center" shrinkToFit="1"/>
    </xf>
    <xf numFmtId="0" fontId="3" fillId="11" borderId="56" xfId="0" applyFont="1" applyFill="1" applyBorder="1" applyAlignment="1">
      <alignment horizontal="center" vertical="center" shrinkToFit="1"/>
    </xf>
    <xf numFmtId="0" fontId="3" fillId="11" borderId="50" xfId="0" applyFont="1" applyFill="1" applyBorder="1" applyAlignment="1">
      <alignment horizontal="center" vertical="center" shrinkToFit="1"/>
    </xf>
    <xf numFmtId="0" fontId="32" fillId="18" borderId="18" xfId="0" applyFont="1" applyFill="1" applyBorder="1" applyAlignment="1">
      <alignment vertical="top" wrapText="1"/>
    </xf>
    <xf numFmtId="0" fontId="3" fillId="11" borderId="43" xfId="0" applyFont="1" applyFill="1" applyBorder="1" applyAlignment="1">
      <alignment horizontal="center" vertical="center" shrinkToFit="1"/>
    </xf>
    <xf numFmtId="0" fontId="2" fillId="10" borderId="47" xfId="0" applyFont="1" applyFill="1" applyBorder="1" applyAlignment="1">
      <alignment horizontal="center" vertical="center" shrinkToFit="1"/>
    </xf>
    <xf numFmtId="0" fontId="2" fillId="10" borderId="57" xfId="0" applyFont="1" applyFill="1" applyBorder="1" applyAlignment="1">
      <alignment horizontal="center" vertical="center" shrinkToFit="1"/>
    </xf>
    <xf numFmtId="0" fontId="2" fillId="10" borderId="46" xfId="0" applyFont="1" applyFill="1" applyBorder="1" applyAlignment="1">
      <alignment horizontal="center" vertical="center" shrinkToFit="1"/>
    </xf>
    <xf numFmtId="0" fontId="33" fillId="18" borderId="37" xfId="0" applyFont="1" applyFill="1" applyBorder="1"/>
    <xf numFmtId="0" fontId="6" fillId="18" borderId="13" xfId="0" applyFont="1" applyFill="1" applyBorder="1"/>
    <xf numFmtId="0" fontId="33" fillId="18" borderId="38" xfId="0" applyFont="1" applyFill="1" applyBorder="1"/>
    <xf numFmtId="0" fontId="3" fillId="11" borderId="49" xfId="0" applyFont="1" applyFill="1" applyBorder="1" applyAlignment="1">
      <alignment horizontal="center" vertical="center" shrinkToFit="1"/>
    </xf>
    <xf numFmtId="0" fontId="14" fillId="19" borderId="51" xfId="0" applyFont="1" applyFill="1" applyBorder="1" applyAlignment="1">
      <alignment horizontal="center" vertical="center"/>
    </xf>
    <xf numFmtId="0" fontId="14" fillId="19" borderId="45" xfId="0" applyFont="1" applyFill="1" applyBorder="1" applyAlignment="1">
      <alignment horizontal="center" vertical="center"/>
    </xf>
    <xf numFmtId="2" fontId="14" fillId="19" borderId="45" xfId="0" applyNumberFormat="1" applyFont="1" applyFill="1" applyBorder="1" applyAlignment="1">
      <alignment horizontal="center" vertical="center"/>
    </xf>
    <xf numFmtId="2" fontId="14" fillId="19" borderId="51" xfId="0" applyNumberFormat="1" applyFont="1" applyFill="1" applyBorder="1" applyAlignment="1">
      <alignment horizontal="center" vertical="center"/>
    </xf>
    <xf numFmtId="0" fontId="14" fillId="19" borderId="51" xfId="0" applyFont="1" applyFill="1" applyBorder="1" applyAlignment="1">
      <alignment horizontal="center"/>
    </xf>
    <xf numFmtId="0" fontId="15" fillId="19" borderId="51" xfId="0" applyFont="1" applyFill="1" applyBorder="1" applyAlignment="1">
      <alignment horizontal="center" vertical="center"/>
    </xf>
    <xf numFmtId="0" fontId="15" fillId="19" borderId="45" xfId="0" applyFont="1" applyFill="1" applyBorder="1" applyAlignment="1">
      <alignment horizontal="center" vertical="center"/>
    </xf>
    <xf numFmtId="0" fontId="3" fillId="19" borderId="45" xfId="0" applyFont="1" applyFill="1" applyBorder="1" applyAlignment="1">
      <alignment horizontal="center" vertical="center"/>
    </xf>
    <xf numFmtId="0" fontId="15" fillId="19" borderId="46" xfId="0" applyFont="1" applyFill="1" applyBorder="1"/>
    <xf numFmtId="0" fontId="3" fillId="19" borderId="50" xfId="0" applyFont="1" applyFill="1" applyBorder="1" applyAlignment="1">
      <alignment horizontal="center" vertical="center"/>
    </xf>
    <xf numFmtId="0" fontId="3" fillId="19" borderId="53" xfId="0" applyFont="1" applyFill="1" applyBorder="1" applyAlignment="1">
      <alignment vertical="top" wrapText="1"/>
    </xf>
    <xf numFmtId="0" fontId="2" fillId="13" borderId="37" xfId="0" applyFont="1" applyFill="1" applyBorder="1" applyAlignment="1">
      <alignment horizontal="center" vertical="center"/>
    </xf>
    <xf numFmtId="0" fontId="9" fillId="13" borderId="38" xfId="0" applyFont="1" applyFill="1" applyBorder="1" applyAlignment="1">
      <alignment horizontal="center" vertical="center"/>
    </xf>
    <xf numFmtId="0" fontId="15" fillId="19" borderId="52" xfId="0" applyFont="1" applyFill="1" applyBorder="1" applyAlignment="1">
      <alignment horizontal="center" vertical="center"/>
    </xf>
    <xf numFmtId="0" fontId="3" fillId="19" borderId="51" xfId="0" applyFont="1" applyFill="1" applyBorder="1" applyAlignment="1">
      <alignment vertical="top" wrapText="1"/>
    </xf>
    <xf numFmtId="0" fontId="2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 shrinkToFit="1"/>
    </xf>
    <xf numFmtId="0" fontId="33" fillId="7" borderId="0" xfId="0" applyFont="1" applyFill="1"/>
    <xf numFmtId="0" fontId="6" fillId="15" borderId="47" xfId="0" applyFont="1" applyFill="1" applyBorder="1" applyAlignment="1">
      <alignment horizontal="center"/>
    </xf>
    <xf numFmtId="0" fontId="36" fillId="10" borderId="20" xfId="0" applyFont="1" applyFill="1" applyBorder="1" applyAlignment="1">
      <alignment horizontal="center" shrinkToFit="1"/>
    </xf>
    <xf numFmtId="2" fontId="3" fillId="2" borderId="1" xfId="6" applyNumberFormat="1" applyFill="1" applyBorder="1" applyAlignment="1" applyProtection="1">
      <alignment horizontal="right"/>
      <protection locked="0"/>
    </xf>
    <xf numFmtId="0" fontId="16" fillId="0" borderId="0" xfId="2" applyAlignment="1">
      <alignment horizontal="left" vertical="center" indent="1"/>
    </xf>
    <xf numFmtId="2" fontId="0" fillId="2" borderId="3" xfId="0" applyNumberFormat="1" applyFill="1" applyBorder="1" applyAlignment="1" applyProtection="1">
      <alignment horizontal="right"/>
      <protection locked="0"/>
    </xf>
    <xf numFmtId="2" fontId="0" fillId="2" borderId="1" xfId="0" applyNumberFormat="1" applyFill="1" applyBorder="1" applyProtection="1">
      <protection locked="0"/>
    </xf>
    <xf numFmtId="2" fontId="3" fillId="2" borderId="1" xfId="6" applyNumberFormat="1" applyFill="1" applyBorder="1" applyProtection="1">
      <protection locked="0"/>
    </xf>
    <xf numFmtId="2" fontId="7" fillId="3" borderId="1" xfId="0" applyNumberFormat="1" applyFont="1" applyFill="1" applyBorder="1" applyAlignment="1" applyProtection="1">
      <alignment horizontal="right"/>
      <protection locked="0"/>
    </xf>
    <xf numFmtId="2" fontId="7" fillId="3" borderId="2" xfId="0" applyNumberFormat="1" applyFont="1" applyFill="1" applyBorder="1" applyAlignment="1" applyProtection="1">
      <alignment horizontal="right"/>
      <protection locked="0"/>
    </xf>
    <xf numFmtId="166" fontId="0" fillId="2" borderId="1" xfId="0" applyNumberFormat="1" applyFill="1" applyBorder="1"/>
    <xf numFmtId="0" fontId="0" fillId="2" borderId="3" xfId="0" applyFill="1" applyBorder="1" applyAlignment="1" applyProtection="1">
      <alignment horizontal="left"/>
      <protection locked="0"/>
    </xf>
    <xf numFmtId="0" fontId="0" fillId="0" borderId="3" xfId="0" applyBorder="1"/>
    <xf numFmtId="14" fontId="3" fillId="2" borderId="19" xfId="0" applyNumberFormat="1" applyFont="1" applyFill="1" applyBorder="1" applyAlignment="1" applyProtection="1">
      <alignment horizontal="center"/>
      <protection locked="0"/>
    </xf>
    <xf numFmtId="0" fontId="3" fillId="2" borderId="3" xfId="1" applyFill="1" applyBorder="1" applyAlignment="1" applyProtection="1">
      <alignment horizontal="center"/>
      <protection locked="0"/>
    </xf>
    <xf numFmtId="2" fontId="3" fillId="2" borderId="19" xfId="1" applyNumberFormat="1" applyFill="1" applyBorder="1" applyAlignment="1" applyProtection="1">
      <alignment horizontal="center"/>
      <protection locked="0"/>
    </xf>
    <xf numFmtId="0" fontId="3" fillId="2" borderId="19" xfId="1" applyFill="1" applyBorder="1" applyAlignment="1" applyProtection="1">
      <alignment horizontal="center"/>
      <protection locked="0"/>
    </xf>
    <xf numFmtId="0" fontId="3" fillId="2" borderId="3" xfId="0" applyFont="1" applyFill="1" applyBorder="1" applyAlignment="1" applyProtection="1">
      <alignment horizontal="center"/>
      <protection locked="0"/>
    </xf>
    <xf numFmtId="0" fontId="10" fillId="2" borderId="19" xfId="0" applyFont="1" applyFill="1" applyBorder="1" applyAlignment="1" applyProtection="1">
      <alignment horizontal="center"/>
      <protection locked="0"/>
    </xf>
    <xf numFmtId="0" fontId="3" fillId="2" borderId="19" xfId="0" applyFont="1" applyFill="1" applyBorder="1" applyAlignment="1" applyProtection="1">
      <alignment horizontal="center"/>
      <protection locked="0"/>
    </xf>
    <xf numFmtId="0" fontId="3" fillId="13" borderId="58" xfId="0" applyFont="1" applyFill="1" applyBorder="1" applyAlignment="1">
      <alignment horizontal="center" vertical="center"/>
    </xf>
    <xf numFmtId="0" fontId="3" fillId="13" borderId="59" xfId="0" applyFont="1" applyFill="1" applyBorder="1" applyAlignment="1">
      <alignment horizontal="center" vertical="center"/>
    </xf>
    <xf numFmtId="0" fontId="3" fillId="5" borderId="21" xfId="1" applyFill="1" applyBorder="1" applyAlignment="1">
      <alignment horizontal="center"/>
    </xf>
    <xf numFmtId="0" fontId="0" fillId="5" borderId="19" xfId="0" applyFill="1" applyBorder="1"/>
    <xf numFmtId="0" fontId="0" fillId="5" borderId="22" xfId="0" applyFill="1" applyBorder="1"/>
    <xf numFmtId="0" fontId="13" fillId="6" borderId="23" xfId="0" applyFont="1" applyFill="1" applyBorder="1" applyAlignment="1">
      <alignment horizontal="center" vertical="center"/>
    </xf>
    <xf numFmtId="0" fontId="13" fillId="6" borderId="24" xfId="0" applyFont="1" applyFill="1" applyBorder="1" applyAlignment="1">
      <alignment horizontal="center" vertical="center"/>
    </xf>
    <xf numFmtId="0" fontId="13" fillId="6" borderId="25" xfId="0" applyFont="1" applyFill="1" applyBorder="1" applyAlignment="1">
      <alignment horizontal="center" vertical="center"/>
    </xf>
    <xf numFmtId="0" fontId="17" fillId="0" borderId="21" xfId="0" applyFont="1" applyBorder="1" applyAlignment="1">
      <alignment horizontal="center" vertical="center"/>
    </xf>
    <xf numFmtId="0" fontId="17" fillId="0" borderId="19" xfId="0" applyFont="1" applyBorder="1" applyAlignment="1">
      <alignment horizontal="center" vertical="center"/>
    </xf>
    <xf numFmtId="0" fontId="17" fillId="0" borderId="22" xfId="0" applyFont="1" applyBorder="1" applyAlignment="1">
      <alignment horizontal="center" vertical="center"/>
    </xf>
    <xf numFmtId="0" fontId="30" fillId="13" borderId="21" xfId="0" applyFont="1" applyFill="1" applyBorder="1" applyAlignment="1">
      <alignment horizontal="center" vertical="center"/>
    </xf>
    <xf numFmtId="0" fontId="30" fillId="13" borderId="19" xfId="0" applyFont="1" applyFill="1" applyBorder="1" applyAlignment="1">
      <alignment horizontal="center" vertical="center"/>
    </xf>
    <xf numFmtId="0" fontId="30" fillId="13" borderId="22" xfId="0" applyFont="1" applyFill="1" applyBorder="1" applyAlignment="1">
      <alignment horizontal="center" vertical="center"/>
    </xf>
    <xf numFmtId="0" fontId="34" fillId="19" borderId="18" xfId="0" applyFont="1" applyFill="1" applyBorder="1" applyAlignment="1">
      <alignment horizontal="center" vertical="center"/>
    </xf>
    <xf numFmtId="0" fontId="34" fillId="19" borderId="6" xfId="0" applyFont="1" applyFill="1" applyBorder="1" applyAlignment="1">
      <alignment horizontal="center" vertical="center"/>
    </xf>
    <xf numFmtId="0" fontId="34" fillId="19" borderId="9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wrapText="1"/>
    </xf>
    <xf numFmtId="0" fontId="0" fillId="15" borderId="9" xfId="0" applyFill="1" applyBorder="1" applyAlignment="1">
      <alignment horizontal="center" wrapText="1"/>
    </xf>
    <xf numFmtId="0" fontId="0" fillId="15" borderId="37" xfId="0" applyFill="1" applyBorder="1" applyAlignment="1">
      <alignment horizontal="center" wrapText="1"/>
    </xf>
    <xf numFmtId="0" fontId="0" fillId="15" borderId="13" xfId="0" applyFill="1" applyBorder="1" applyAlignment="1">
      <alignment horizontal="center" wrapText="1"/>
    </xf>
    <xf numFmtId="0" fontId="0" fillId="15" borderId="38" xfId="0" applyFill="1" applyBorder="1" applyAlignment="1">
      <alignment horizontal="center" wrapText="1"/>
    </xf>
    <xf numFmtId="0" fontId="0" fillId="15" borderId="17" xfId="0" applyFill="1" applyBorder="1" applyAlignment="1">
      <alignment horizontal="center" wrapText="1"/>
    </xf>
    <xf numFmtId="0" fontId="3" fillId="4" borderId="21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0" fillId="4" borderId="38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2" fillId="10" borderId="21" xfId="0" applyFont="1" applyFill="1" applyBorder="1" applyAlignment="1">
      <alignment horizontal="center" vertical="center"/>
    </xf>
    <xf numFmtId="0" fontId="2" fillId="10" borderId="22" xfId="0" applyFont="1" applyFill="1" applyBorder="1" applyAlignment="1">
      <alignment horizontal="center" vertical="center"/>
    </xf>
    <xf numFmtId="0" fontId="0" fillId="7" borderId="0" xfId="0" applyFill="1" applyAlignment="1">
      <alignment horizontal="center"/>
    </xf>
    <xf numFmtId="0" fontId="27" fillId="4" borderId="18" xfId="0" applyFont="1" applyFill="1" applyBorder="1" applyAlignment="1">
      <alignment horizontal="center" vertical="center"/>
    </xf>
    <xf numFmtId="0" fontId="27" fillId="4" borderId="6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4" borderId="38" xfId="0" applyFont="1" applyFill="1" applyBorder="1" applyAlignment="1">
      <alignment horizontal="center" vertical="center"/>
    </xf>
    <xf numFmtId="0" fontId="27" fillId="4" borderId="3" xfId="0" applyFont="1" applyFill="1" applyBorder="1" applyAlignment="1">
      <alignment horizontal="center" vertical="center"/>
    </xf>
    <xf numFmtId="0" fontId="27" fillId="4" borderId="17" xfId="0" applyFont="1" applyFill="1" applyBorder="1" applyAlignment="1">
      <alignment horizontal="center" vertical="center"/>
    </xf>
    <xf numFmtId="0" fontId="0" fillId="7" borderId="6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25" fillId="0" borderId="0" xfId="3" applyFont="1" applyAlignment="1">
      <alignment horizontal="center" wrapText="1"/>
    </xf>
    <xf numFmtId="0" fontId="2" fillId="0" borderId="0" xfId="6" applyFont="1" applyAlignment="1">
      <alignment horizontal="center"/>
    </xf>
    <xf numFmtId="0" fontId="31" fillId="13" borderId="0" xfId="6" applyFont="1" applyFill="1" applyAlignment="1">
      <alignment shrinkToFit="1"/>
    </xf>
    <xf numFmtId="0" fontId="5" fillId="16" borderId="0" xfId="6" applyFont="1" applyFill="1" applyAlignment="1">
      <alignment horizontal="center"/>
    </xf>
  </cellXfs>
  <cellStyles count="17">
    <cellStyle name="Comma [0] 2" xfId="12" xr:uid="{78F2F7DB-27BD-4E9F-AADE-9258DDFED345}"/>
    <cellStyle name="Comma 2" xfId="11" xr:uid="{88411D80-BC4E-451C-80BB-7B3C92A80B72}"/>
    <cellStyle name="Comma 3" xfId="15" xr:uid="{AC488066-F390-4E99-A581-97F810A51208}"/>
    <cellStyle name="Comma 4" xfId="16" xr:uid="{C9DA46D4-E695-463D-A591-D7294B9FD677}"/>
    <cellStyle name="Currency [0] 2" xfId="10" xr:uid="{BFAD44C5-3D1E-4201-8A67-4C0892B18E13}"/>
    <cellStyle name="Currency 2" xfId="9" xr:uid="{A1B0FADF-04F5-4D30-A7B9-206C091FAE06}"/>
    <cellStyle name="Currency 3" xfId="13" xr:uid="{7FA114C9-3A2F-4F60-846E-FC41319E1DF3}"/>
    <cellStyle name="Currency 4" xfId="14" xr:uid="{49FB02E5-5E82-4720-8F98-E5BA6B62DFBC}"/>
    <cellStyle name="Hyperlink" xfId="2" builtinId="8"/>
    <cellStyle name="Hyperlink 2" xfId="5" xr:uid="{7CBF4FA3-823D-4D99-90B2-D5338257F8A2}"/>
    <cellStyle name="Input 2" xfId="4" xr:uid="{C9EBACCA-988F-43B9-A6AF-3E3374EFCA07}"/>
    <cellStyle name="Normal" xfId="0" builtinId="0"/>
    <cellStyle name="Normal 2" xfId="7" xr:uid="{0DC7A24A-85B6-4FC8-BF8D-EAA439D8DA8F}"/>
    <cellStyle name="Normal 2 2" xfId="6" xr:uid="{D52054C1-F802-4477-B920-102B68DA8497}"/>
    <cellStyle name="Normal 3" xfId="1" xr:uid="{473F032E-D5B7-4E78-BC23-365BE592AFD1}"/>
    <cellStyle name="Normal 5" xfId="3" xr:uid="{60F93EF3-0E35-4039-8CE7-E778B34979CD}"/>
    <cellStyle name="Percent 2" xfId="8" xr:uid="{59C656FD-A338-4EB2-9AA3-7C371B4A0CEF}"/>
  </cellStyles>
  <dxfs count="1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9"/>
      </font>
    </dxf>
    <dxf>
      <font>
        <b val="0"/>
        <i val="0"/>
        <strike val="0"/>
        <color theme="9"/>
      </font>
    </dxf>
    <dxf>
      <font>
        <b/>
        <i val="0"/>
        <color theme="9"/>
      </font>
    </dxf>
    <dxf>
      <font>
        <color rgb="FF00B05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b/>
        <i val="0"/>
        <color rgb="FF00B05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b/>
        <i val="0"/>
        <color rgb="FF00B05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3887BF"/>
      <color rgb="FF8A8A89"/>
      <color rgb="FFB2B3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theme" Target="theme/them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openxmlformats.org/officeDocument/2006/relationships/customXml" Target="../customXml/item2.xml"/><Relationship Id="rId10" Type="http://schemas.openxmlformats.org/officeDocument/2006/relationships/externalLink" Target="externalLinks/externalLink5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Drop" dropLines="3" dropStyle="combo" dx="22" fmlaLink="U1" fmlaRange="S1:S3" noThreeD="1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0</xdr:row>
          <xdr:rowOff>0</xdr:rowOff>
        </xdr:from>
        <xdr:to>
          <xdr:col>15</xdr:col>
          <xdr:colOff>495300</xdr:colOff>
          <xdr:row>0</xdr:row>
          <xdr:rowOff>190500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  <xdr:twoCellAnchor editAs="oneCell">
    <xdr:from>
      <xdr:col>0</xdr:col>
      <xdr:colOff>0</xdr:colOff>
      <xdr:row>1</xdr:row>
      <xdr:rowOff>28575</xdr:rowOff>
    </xdr:from>
    <xdr:to>
      <xdr:col>1</xdr:col>
      <xdr:colOff>590550</xdr:colOff>
      <xdr:row>3</xdr:row>
      <xdr:rowOff>76200</xdr:rowOff>
    </xdr:to>
    <xdr:pic>
      <xdr:nvPicPr>
        <xdr:cNvPr id="1075" name="Picture 1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8125"/>
          <a:ext cx="10763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147978</xdr:colOff>
      <xdr:row>11</xdr:row>
      <xdr:rowOff>85044</xdr:rowOff>
    </xdr:from>
    <xdr:to>
      <xdr:col>1</xdr:col>
      <xdr:colOff>1592036</xdr:colOff>
      <xdr:row>13</xdr:row>
      <xdr:rowOff>247649</xdr:rowOff>
    </xdr:to>
    <xdr:pic macro="[0]!BrowseDirectoryWithExplorer">
      <xdr:nvPicPr>
        <xdr:cNvPr id="7" name="Graphic 6" descr="Folder Search with solid fill">
          <a:extLst>
            <a:ext uri="{FF2B5EF4-FFF2-40B4-BE49-F238E27FC236}">
              <a16:creationId xmlns:a16="http://schemas.microsoft.com/office/drawing/2014/main" id="{F2612F7D-D593-89C3-5167-7B159C338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60299" y="3405187"/>
          <a:ext cx="1444058" cy="7722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11</xdr:row>
          <xdr:rowOff>190500</xdr:rowOff>
        </xdr:from>
        <xdr:to>
          <xdr:col>2</xdr:col>
          <xdr:colOff>1695450</xdr:colOff>
          <xdr:row>14</xdr:row>
          <xdr:rowOff>190500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 Survey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1724025</xdr:colOff>
          <xdr:row>12</xdr:row>
          <xdr:rowOff>0</xdr:rowOff>
        </xdr:from>
        <xdr:to>
          <xdr:col>2</xdr:col>
          <xdr:colOff>3038475</xdr:colOff>
          <xdr:row>14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180975</xdr:rowOff>
        </xdr:from>
        <xdr:to>
          <xdr:col>3</xdr:col>
          <xdr:colOff>3009900</xdr:colOff>
          <xdr:row>14</xdr:row>
          <xdr:rowOff>180975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Compose E-Mail | Attach Files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6VNDSY1\Downloads\Users\6wmxtz1\Desktop\Users\ronny\Desktop\DarkSide%20Backup\Desktop\Leam%20MWD%20Job%20Book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WD-OPS-103\Desktop\Morning%20Reports\Scan%20Titan\Survey%20Template%20Hilltop%20Pad_GT_Paperwork.xlsm" TargetMode="External"/><Relationship Id="rId1" Type="http://schemas.openxmlformats.org/officeDocument/2006/relationships/externalLinkPath" Target="file:///C:\Users\MWD-OPS-103\Desktop\Morning%20Reports\Scan%20Titan\Survey%20Template%20Hilltop%20Pad_GT_Paperwork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WD\Desktop\BHA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!PathFinder%20Work%20Files\Tool%20Run%20Summary\Toolrun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202\AEP%20Shared\Users\roc\Desktop\Precision%20626\ROC%20File%20Transfers%204-11-21%20PM\Rankin%20MIPA%201H%20%20Pipe%20Tally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202\AEP%20Shared\Users\roc\Desktop\H&amp;P%20487%20Texas%20Ten%20Pad\AEP21104_Texas%20Ten%20Y%20PU%203719H\Master%20Survey%20Workbook\AEP%20Primary%20Survey%20Workbook_H&amp;P%20487_Texas%20Ten%20Y%20PU%203720H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!Gordon%20Technologies%20LLC\Job%20Sheet\Older%20Versions\Copy%20of%201%20POMD%20%20JOBSHEET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6VNDSY1\Downloads\Users\6wmxtz1\Desktop\Users\Janousek\AppData\Local\Microsoft\Windows\Temporary%20Internet%20Files\Content.Outlook\JYVDR85G\MWD%20DD%20Job%20Book\DD%20&amp;%20MWD%20EOW\MWD%20EOW\Dailys%20&amp;%20Misc\MWD%20DD%20Job%20B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TMWD\Desktop\DFK%20319K%20807HC_1910403\Noralis%20Import%20DFK%20319K%20807HC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T\Desktop\GT170073\GT170073_Paperwork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WD\Desktop\Gordon%20Technologies%20Manual\Copy%20of%20Raw%20Survey%20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Setup"/>
      <sheetName val="Poppet"/>
      <sheetName val="Gamma Scale"/>
      <sheetName val="Sensor Spacing"/>
      <sheetName val="Calculated Surveys"/>
      <sheetName val="Survey to Email"/>
      <sheetName val="Email Sheet"/>
      <sheetName val="Written Surveys"/>
      <sheetName val="Pipe Tally"/>
      <sheetName val="RCC Report"/>
      <sheetName val="RTV-Config Guide"/>
      <sheetName val="APS-Config Guide"/>
      <sheetName val="Email Sheet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4">
          <cell r="Y4" t="str">
            <v xml:space="preserve"> Right</v>
          </cell>
          <cell r="Z4" t="str">
            <v xml:space="preserve"> Ahead</v>
          </cell>
        </row>
        <row r="5">
          <cell r="Y5" t="str">
            <v xml:space="preserve"> Left</v>
          </cell>
          <cell r="Z5" t="str">
            <v xml:space="preserve"> Behind</v>
          </cell>
        </row>
        <row r="6">
          <cell r="Y6" t="str">
            <v xml:space="preserve"> On Line</v>
          </cell>
          <cell r="Z6" t="str">
            <v xml:space="preserve"> Above</v>
          </cell>
        </row>
        <row r="7">
          <cell r="Z7" t="str">
            <v xml:space="preserve"> Below</v>
          </cell>
        </row>
        <row r="8">
          <cell r="Z8" t="str">
            <v xml:space="preserve"> On Line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Daily"/>
      <sheetName val="Email Body"/>
      <sheetName val="BHASheet"/>
      <sheetName val="Job Ticket"/>
      <sheetName val="Run Summary"/>
      <sheetName val="Next BHA"/>
      <sheetName val="Mud Pulse Inventory"/>
      <sheetName val="Job Info."/>
      <sheetName val="Survey Template"/>
      <sheetName val="Surveys"/>
      <sheetName val="Gamma Correction"/>
      <sheetName val="Sensor Offset Calc"/>
      <sheetName val="Shipping"/>
      <sheetName val="Gamma Env Corr"/>
      <sheetName val="Field Incident Report"/>
      <sheetName val="Run Summary_2"/>
      <sheetName val="JSA"/>
      <sheetName val="Magnetic Trending"/>
      <sheetName val="Personnel Tracking"/>
      <sheetName val="Survey Template Hilltop Pad_GT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9">
          <cell r="D19" t="str">
            <v>GB150</v>
          </cell>
          <cell r="E19" t="str">
            <v>GB4582</v>
          </cell>
          <cell r="F19"/>
          <cell r="G19"/>
          <cell r="H19"/>
          <cell r="I19"/>
          <cell r="J19"/>
          <cell r="K19"/>
        </row>
      </sheetData>
      <sheetData sheetId="9">
        <row r="7">
          <cell r="D7" t="str">
            <v>Hilltop 37D 6HN</v>
          </cell>
        </row>
      </sheetData>
      <sheetData sheetId="10"/>
      <sheetData sheetId="11">
        <row r="18">
          <cell r="E18">
            <v>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 (3)"/>
      <sheetName val="Sheet1 (2)"/>
      <sheetName val="Sheet1"/>
      <sheetName val="Mud Pulse Inventory"/>
      <sheetName val="BHASheet"/>
      <sheetName val="Sheet1_(3)"/>
      <sheetName val="Sheet1_(2)"/>
      <sheetName val="Mud_Pulse_Inventory"/>
      <sheetName val="Job Info."/>
      <sheetName val="Shipping"/>
      <sheetName val="Job Ticket"/>
      <sheetName val="Gamma Env Corr"/>
      <sheetName val="Run Summary"/>
      <sheetName val="Daily"/>
      <sheetName val="Email Body"/>
      <sheetName val="Surveys"/>
      <sheetName val="Gamma Correction"/>
      <sheetName val="Field Incident Report"/>
      <sheetName val="Run Summary_2"/>
      <sheetName val="Survey Certification"/>
      <sheetName val="JSA"/>
      <sheetName val="Personnel Tracking"/>
      <sheetName val="Sheet2"/>
      <sheetName val="Sheet3"/>
      <sheetName val="Job Info"/>
      <sheetName val="Vertical"/>
      <sheetName val="Curve"/>
      <sheetName val="Curve (4 DLN)"/>
      <sheetName val="Lateral"/>
      <sheetName val="Sensor Offset Calc"/>
      <sheetName val="Surveys (2)"/>
      <sheetName val="NMDC Job Ticket"/>
    </sheetNames>
    <sheetDataSet>
      <sheetData sheetId="0">
        <row r="2">
          <cell r="T2" t="str">
            <v>Bits_____</v>
          </cell>
          <cell r="U2">
            <v>2.375</v>
          </cell>
          <cell r="V2" t="str">
            <v>AOH</v>
          </cell>
          <cell r="W2" t="str">
            <v>Box</v>
          </cell>
        </row>
        <row r="3">
          <cell r="T3" t="str">
            <v>Rock Bit</v>
          </cell>
          <cell r="U3">
            <v>2.875</v>
          </cell>
          <cell r="V3" t="str">
            <v>DS</v>
          </cell>
          <cell r="W3" t="str">
            <v>Pin</v>
          </cell>
        </row>
        <row r="4">
          <cell r="T4" t="str">
            <v>PDC Bit</v>
          </cell>
          <cell r="U4">
            <v>3.5</v>
          </cell>
          <cell r="V4" t="str">
            <v>FH</v>
          </cell>
        </row>
        <row r="5">
          <cell r="T5" t="str">
            <v>Bi Center Bit</v>
          </cell>
          <cell r="U5">
            <v>4</v>
          </cell>
          <cell r="V5" t="str">
            <v>H-90</v>
          </cell>
        </row>
        <row r="6">
          <cell r="T6" t="str">
            <v>Motors_____</v>
          </cell>
          <cell r="U6">
            <v>4.5</v>
          </cell>
          <cell r="V6" t="str">
            <v>IF</v>
          </cell>
        </row>
        <row r="7">
          <cell r="T7" t="str">
            <v>Steerable Motor</v>
          </cell>
          <cell r="U7">
            <v>5</v>
          </cell>
          <cell r="V7" t="str">
            <v>MO</v>
          </cell>
        </row>
        <row r="8">
          <cell r="T8" t="str">
            <v>Straight Motor</v>
          </cell>
          <cell r="U8">
            <v>5.5</v>
          </cell>
          <cell r="V8" t="str">
            <v>PAC</v>
          </cell>
        </row>
        <row r="9">
          <cell r="T9" t="str">
            <v>Subs____</v>
          </cell>
          <cell r="U9">
            <v>6.625</v>
          </cell>
          <cell r="V9" t="str">
            <v>PH6</v>
          </cell>
        </row>
        <row r="10">
          <cell r="T10" t="str">
            <v>Pony Sub</v>
          </cell>
          <cell r="U10">
            <v>7</v>
          </cell>
          <cell r="V10" t="str">
            <v>R LT</v>
          </cell>
        </row>
        <row r="11">
          <cell r="T11" t="str">
            <v>Stab</v>
          </cell>
          <cell r="U11">
            <v>7.625</v>
          </cell>
          <cell r="V11" t="str">
            <v>REG</v>
          </cell>
        </row>
        <row r="12">
          <cell r="T12" t="str">
            <v>Float Sub</v>
          </cell>
          <cell r="U12">
            <v>8.625</v>
          </cell>
          <cell r="V12" t="str">
            <v>SH</v>
          </cell>
        </row>
        <row r="13">
          <cell r="T13" t="str">
            <v>Shock Sub</v>
          </cell>
          <cell r="V13" t="str">
            <v>SLH-90</v>
          </cell>
        </row>
        <row r="14">
          <cell r="T14" t="str">
            <v>Choke Sub</v>
          </cell>
          <cell r="V14" t="str">
            <v>VO55</v>
          </cell>
        </row>
        <row r="15">
          <cell r="T15" t="str">
            <v>Adj Stab</v>
          </cell>
          <cell r="V15" t="str">
            <v>XH</v>
          </cell>
        </row>
        <row r="16">
          <cell r="T16" t="str">
            <v>X/O Sub</v>
          </cell>
        </row>
        <row r="17">
          <cell r="T17" t="str">
            <v>Orienting Sub</v>
          </cell>
        </row>
        <row r="18">
          <cell r="T18" t="str">
            <v>Torque Sub</v>
          </cell>
        </row>
        <row r="19">
          <cell r="T19" t="str">
            <v>Bit Sub</v>
          </cell>
        </row>
        <row r="20">
          <cell r="T20" t="str">
            <v>Bent Sub</v>
          </cell>
        </row>
        <row r="21">
          <cell r="T21" t="str">
            <v>ShockMieser</v>
          </cell>
        </row>
        <row r="22">
          <cell r="T22" t="str">
            <v>MWD____</v>
          </cell>
        </row>
        <row r="23">
          <cell r="T23" t="str">
            <v>GTMWD</v>
          </cell>
        </row>
        <row r="24">
          <cell r="T24" t="str">
            <v>Collars____</v>
          </cell>
        </row>
        <row r="25">
          <cell r="T25" t="str">
            <v>Drill Collar</v>
          </cell>
        </row>
        <row r="26">
          <cell r="T26" t="str">
            <v>HWDP</v>
          </cell>
        </row>
        <row r="27">
          <cell r="T27" t="str">
            <v>Jas</v>
          </cell>
        </row>
        <row r="28">
          <cell r="T28" t="str">
            <v>Drill Pipe</v>
          </cell>
        </row>
        <row r="29">
          <cell r="T29" t="str">
            <v>Flex Collar</v>
          </cell>
        </row>
        <row r="30">
          <cell r="T30" t="str">
            <v>Specialty____</v>
          </cell>
        </row>
        <row r="31">
          <cell r="T31" t="str">
            <v>Mill</v>
          </cell>
        </row>
        <row r="32">
          <cell r="T32" t="str">
            <v>Junk Basket</v>
          </cell>
        </row>
        <row r="33">
          <cell r="T33" t="str">
            <v>Whipstock</v>
          </cell>
        </row>
        <row r="34">
          <cell r="T34" t="str">
            <v>Other</v>
          </cell>
        </row>
      </sheetData>
      <sheetData sheetId="1" refreshError="1"/>
      <sheetData sheetId="2" refreshError="1"/>
      <sheetData sheetId="3" refreshError="1"/>
      <sheetData sheetId="4"/>
      <sheetData sheetId="5">
        <row r="2">
          <cell r="T2" t="str">
            <v>Bits_____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>
        <row r="1">
          <cell r="T1"/>
        </row>
      </sheetData>
      <sheetData sheetId="14"/>
      <sheetData sheetId="15">
        <row r="1">
          <cell r="T1"/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1">
          <cell r="T1"/>
        </row>
      </sheetData>
      <sheetData sheetId="25"/>
      <sheetData sheetId="26"/>
      <sheetData sheetId="27"/>
      <sheetData sheetId="28"/>
      <sheetData sheetId="29"/>
      <sheetData sheetId="30">
        <row r="1">
          <cell r="T1"/>
        </row>
      </sheetData>
      <sheetData sheetId="3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OLRUN"/>
      <sheetName val="TOOLRUN_2"/>
      <sheetName val="InventorySheet"/>
      <sheetName val="FilteredInventory"/>
      <sheetName val="Material Transfer 8&quot; TOOLS"/>
      <sheetName val="Material Transfer"/>
      <sheetName val="Label Maker"/>
      <sheetName val="Access TR"/>
      <sheetName val="Tables"/>
      <sheetName val="Module1"/>
      <sheetName val="Material_Transfer_8&quot;_TOOLS"/>
      <sheetName val="Material_Transfer"/>
      <sheetName val="Label_Maker"/>
      <sheetName val="Access_TR"/>
      <sheetName val="Sheet1"/>
      <sheetName val="Sheet2"/>
      <sheetName val="Sheet3"/>
      <sheetName val="Daily"/>
    </sheetNames>
    <sheetDataSet>
      <sheetData sheetId="0"/>
      <sheetData sheetId="1"/>
      <sheetData sheetId="2"/>
      <sheetData sheetId="3">
        <row r="7">
          <cell r="T7" t="str">
            <v>TRKR ELEC</v>
          </cell>
        </row>
        <row r="8">
          <cell r="T8">
            <v>0</v>
          </cell>
        </row>
        <row r="9">
          <cell r="A9" t="str">
            <v>BMS-5264</v>
          </cell>
          <cell r="B9" t="str">
            <v>HDAS-2156</v>
          </cell>
          <cell r="C9" t="str">
            <v>TCM-0659</v>
          </cell>
          <cell r="D9" t="str">
            <v>HTC-</v>
          </cell>
          <cell r="E9" t="str">
            <v>UGS-8071</v>
          </cell>
          <cell r="G9" t="str">
            <v>MDL-</v>
          </cell>
          <cell r="I9" t="str">
            <v>B-</v>
          </cell>
          <cell r="T9" t="str">
            <v>E-</v>
          </cell>
        </row>
        <row r="10">
          <cell r="A10" t="str">
            <v>BMS-5556</v>
          </cell>
          <cell r="C10" t="str">
            <v>TCM-0865</v>
          </cell>
          <cell r="D10" t="str">
            <v>HTC-</v>
          </cell>
          <cell r="E10" t="str">
            <v>UGS-8597</v>
          </cell>
          <cell r="F10" t="str">
            <v>MPH-</v>
          </cell>
          <cell r="G10" t="str">
            <v>MDL-</v>
          </cell>
          <cell r="I10" t="str">
            <v>B-</v>
          </cell>
          <cell r="T10" t="str">
            <v>E-</v>
          </cell>
        </row>
        <row r="11">
          <cell r="A11" t="str">
            <v>BMS-5121</v>
          </cell>
          <cell r="B11" t="str">
            <v>HDAS-2455</v>
          </cell>
          <cell r="C11" t="str">
            <v>TCM-1044</v>
          </cell>
          <cell r="D11" t="str">
            <v>HTC-</v>
          </cell>
          <cell r="E11" t="str">
            <v>UGS-</v>
          </cell>
          <cell r="F11" t="str">
            <v>MPM-</v>
          </cell>
          <cell r="G11" t="str">
            <v>MDL-</v>
          </cell>
          <cell r="I11" t="str">
            <v>B-</v>
          </cell>
          <cell r="T11" t="str">
            <v>E-</v>
          </cell>
        </row>
        <row r="12">
          <cell r="A12" t="str">
            <v>BMS-</v>
          </cell>
          <cell r="B12" t="str">
            <v>HDAS-</v>
          </cell>
          <cell r="C12" t="str">
            <v>TCM-</v>
          </cell>
          <cell r="D12" t="str">
            <v>HTC-</v>
          </cell>
          <cell r="E12" t="str">
            <v>UGS-</v>
          </cell>
          <cell r="G12" t="str">
            <v>MDL-</v>
          </cell>
          <cell r="I12" t="str">
            <v>B-</v>
          </cell>
          <cell r="T12" t="str">
            <v>E-</v>
          </cell>
        </row>
        <row r="13">
          <cell r="A13" t="str">
            <v>BMS-</v>
          </cell>
          <cell r="B13" t="str">
            <v>HDAS-</v>
          </cell>
          <cell r="C13" t="str">
            <v>TCM-</v>
          </cell>
          <cell r="D13" t="str">
            <v>HTC-</v>
          </cell>
          <cell r="E13" t="str">
            <v>UGS-</v>
          </cell>
          <cell r="F13" t="str">
            <v>MPL-6865</v>
          </cell>
          <cell r="G13" t="str">
            <v>MDL-</v>
          </cell>
          <cell r="I13" t="str">
            <v>B-</v>
          </cell>
          <cell r="T13" t="str">
            <v>E-</v>
          </cell>
        </row>
        <row r="14">
          <cell r="A14" t="str">
            <v>BMS-</v>
          </cell>
          <cell r="B14" t="str">
            <v>HDAS-</v>
          </cell>
          <cell r="C14" t="str">
            <v>TCM-</v>
          </cell>
          <cell r="D14" t="str">
            <v>HTC-</v>
          </cell>
          <cell r="E14" t="str">
            <v>UGS-</v>
          </cell>
          <cell r="F14" t="str">
            <v xml:space="preserve">TT- </v>
          </cell>
          <cell r="G14" t="str">
            <v>DLA-2462</v>
          </cell>
          <cell r="I14" t="str">
            <v>B-</v>
          </cell>
          <cell r="T14" t="str">
            <v>E-</v>
          </cell>
        </row>
        <row r="15">
          <cell r="A15" t="str">
            <v>BMS-</v>
          </cell>
          <cell r="B15" t="str">
            <v>HDAS-</v>
          </cell>
          <cell r="C15" t="str">
            <v>TCM-</v>
          </cell>
          <cell r="D15" t="str">
            <v>HTC-</v>
          </cell>
          <cell r="E15" t="str">
            <v>UGS-</v>
          </cell>
          <cell r="F15" t="str">
            <v xml:space="preserve">TT- </v>
          </cell>
          <cell r="G15" t="str">
            <v>LDL-</v>
          </cell>
          <cell r="I15" t="str">
            <v>B-</v>
          </cell>
          <cell r="T15" t="str">
            <v>E-</v>
          </cell>
        </row>
        <row r="16">
          <cell r="A16" t="str">
            <v>BMS-</v>
          </cell>
          <cell r="B16" t="str">
            <v>HDAS-</v>
          </cell>
          <cell r="C16" t="str">
            <v>TCM-</v>
          </cell>
          <cell r="D16" t="str">
            <v>HTC-</v>
          </cell>
          <cell r="E16" t="str">
            <v>UGS-</v>
          </cell>
          <cell r="F16" t="str">
            <v xml:space="preserve">TT- </v>
          </cell>
          <cell r="G16" t="str">
            <v>DLA-1879</v>
          </cell>
          <cell r="I16" t="str">
            <v>B-</v>
          </cell>
          <cell r="T16" t="str">
            <v>E-</v>
          </cell>
        </row>
        <row r="17">
          <cell r="A17" t="str">
            <v>BMS-</v>
          </cell>
          <cell r="B17" t="str">
            <v>HDAS-</v>
          </cell>
          <cell r="C17" t="str">
            <v>TCM-</v>
          </cell>
          <cell r="D17" t="str">
            <v>HTC-</v>
          </cell>
          <cell r="E17" t="str">
            <v>UGS-</v>
          </cell>
          <cell r="F17" t="str">
            <v xml:space="preserve">TT- </v>
          </cell>
          <cell r="G17" t="str">
            <v>DLA-</v>
          </cell>
          <cell r="I17" t="str">
            <v>B-</v>
          </cell>
          <cell r="T17" t="str">
            <v>E-</v>
          </cell>
        </row>
        <row r="18">
          <cell r="T18" t="str">
            <v>TRKR BAT</v>
          </cell>
        </row>
        <row r="19">
          <cell r="T19">
            <v>0</v>
          </cell>
        </row>
        <row r="20">
          <cell r="T20" t="str">
            <v>B-</v>
          </cell>
        </row>
        <row r="21">
          <cell r="T21" t="str">
            <v>B-</v>
          </cell>
        </row>
        <row r="22">
          <cell r="B22" t="str">
            <v>DTA-15965</v>
          </cell>
          <cell r="C22" t="str">
            <v>DTA-15945</v>
          </cell>
          <cell r="D22" t="str">
            <v>DTA-14225</v>
          </cell>
          <cell r="T22" t="str">
            <v>B-</v>
          </cell>
        </row>
        <row r="23">
          <cell r="B23" t="str">
            <v>DTA-15946</v>
          </cell>
          <cell r="C23" t="str">
            <v>DTA-15960</v>
          </cell>
          <cell r="D23" t="str">
            <v>DTA-13109</v>
          </cell>
          <cell r="T23" t="str">
            <v>B-</v>
          </cell>
        </row>
        <row r="24">
          <cell r="T24" t="str">
            <v>B-</v>
          </cell>
        </row>
        <row r="25">
          <cell r="T25" t="str">
            <v>B-</v>
          </cell>
        </row>
        <row r="26">
          <cell r="T26" t="str">
            <v>B-</v>
          </cell>
        </row>
        <row r="27">
          <cell r="T27" t="str">
            <v>B-</v>
          </cell>
        </row>
        <row r="28">
          <cell r="T28" t="str">
            <v>B-</v>
          </cell>
        </row>
        <row r="34">
          <cell r="B34" t="str">
            <v>D67C424K</v>
          </cell>
        </row>
        <row r="35">
          <cell r="B35" t="str">
            <v>D67C490K</v>
          </cell>
        </row>
        <row r="38">
          <cell r="B38" t="str">
            <v xml:space="preserve"> </v>
          </cell>
          <cell r="C38" t="str">
            <v xml:space="preserve"> </v>
          </cell>
          <cell r="D38" t="str">
            <v xml:space="preserve"> </v>
          </cell>
          <cell r="E38" t="str">
            <v xml:space="preserve"> </v>
          </cell>
          <cell r="F38" t="str">
            <v xml:space="preserve"> </v>
          </cell>
        </row>
        <row r="46">
          <cell r="A46" t="str">
            <v>OB-</v>
          </cell>
          <cell r="B46" t="str">
            <v>OC-9008</v>
          </cell>
        </row>
        <row r="47">
          <cell r="A47" t="str">
            <v>OB-</v>
          </cell>
          <cell r="B47" t="str">
            <v>OC-TO-89923</v>
          </cell>
        </row>
        <row r="48">
          <cell r="A48" t="str">
            <v>OB-</v>
          </cell>
          <cell r="B48" t="str">
            <v>OC-</v>
          </cell>
        </row>
        <row r="49">
          <cell r="A49" t="str">
            <v>OB-</v>
          </cell>
          <cell r="B49" t="str">
            <v>OC-</v>
          </cell>
        </row>
      </sheetData>
      <sheetData sheetId="4"/>
      <sheetData sheetId="5">
        <row r="4">
          <cell r="X4" t="str">
            <v>HDS1M Tool</v>
          </cell>
        </row>
        <row r="5">
          <cell r="X5" t="str">
            <v>CWR Tool</v>
          </cell>
        </row>
        <row r="6">
          <cell r="X6" t="str">
            <v>DNSC Tool</v>
          </cell>
        </row>
        <row r="7">
          <cell r="X7" t="str">
            <v>CLSS Tool</v>
          </cell>
        </row>
        <row r="8">
          <cell r="X8" t="str">
            <v>DPM Tool</v>
          </cell>
        </row>
        <row r="9">
          <cell r="X9" t="str">
            <v>PZIG LXM Tool</v>
          </cell>
        </row>
        <row r="10">
          <cell r="X10" t="str">
            <v>PZIG UXM Tool</v>
          </cell>
        </row>
        <row r="11">
          <cell r="X11" t="str">
            <v>DFT Tool</v>
          </cell>
        </row>
        <row r="12">
          <cell r="X12" t="str">
            <v>3DRS Tool</v>
          </cell>
        </row>
        <row r="13">
          <cell r="X13" t="str">
            <v>2DRS Tool</v>
          </cell>
        </row>
        <row r="14">
          <cell r="X14" t="str">
            <v>INLINE STABILIZER</v>
          </cell>
        </row>
        <row r="16">
          <cell r="X16" t="str">
            <v>Pulser</v>
          </cell>
        </row>
        <row r="17">
          <cell r="X17" t="str">
            <v>TCM</v>
          </cell>
        </row>
        <row r="18">
          <cell r="X18" t="str">
            <v>BMS</v>
          </cell>
        </row>
        <row r="19">
          <cell r="X19" t="str">
            <v>Tracker Battery</v>
          </cell>
        </row>
        <row r="20">
          <cell r="X20" t="str">
            <v>HDAS</v>
          </cell>
        </row>
        <row r="21">
          <cell r="X21" t="str">
            <v>Tracker Electronics</v>
          </cell>
        </row>
        <row r="22">
          <cell r="X22" t="str">
            <v>UGS</v>
          </cell>
        </row>
        <row r="23">
          <cell r="X23" t="str">
            <v>HTC</v>
          </cell>
        </row>
        <row r="24">
          <cell r="X24" t="str">
            <v>GSM</v>
          </cell>
        </row>
        <row r="25">
          <cell r="X25" t="str">
            <v>Datalink</v>
          </cell>
        </row>
        <row r="27">
          <cell r="X27" t="str">
            <v>Drill Collar</v>
          </cell>
        </row>
        <row r="28">
          <cell r="X28" t="str">
            <v>Skid Unit</v>
          </cell>
        </row>
        <row r="29">
          <cell r="X29" t="str">
            <v>Lift Sub</v>
          </cell>
        </row>
        <row r="30">
          <cell r="X30" t="str">
            <v>CrossOver Sub</v>
          </cell>
        </row>
        <row r="31">
          <cell r="X31" t="str">
            <v>Float Sub</v>
          </cell>
        </row>
        <row r="32">
          <cell r="X32" t="str">
            <v>Muleshoe Sub</v>
          </cell>
        </row>
        <row r="33">
          <cell r="X33" t="str">
            <v>Offshore Box</v>
          </cell>
        </row>
        <row r="34">
          <cell r="X34" t="str">
            <v>Running Gear Box</v>
          </cell>
        </row>
        <row r="35">
          <cell r="X35" t="str">
            <v>Sub Basket</v>
          </cell>
        </row>
        <row r="36">
          <cell r="X36" t="str">
            <v>Purge Basket</v>
          </cell>
        </row>
        <row r="37">
          <cell r="X37" t="str">
            <v>Satellite Box</v>
          </cell>
        </row>
      </sheetData>
      <sheetData sheetId="6"/>
      <sheetData sheetId="7"/>
      <sheetData sheetId="8">
        <row r="2">
          <cell r="N2" t="str">
            <v>HDS1L</v>
          </cell>
        </row>
        <row r="3">
          <cell r="N3" t="str">
            <v>HDS1M</v>
          </cell>
        </row>
        <row r="4">
          <cell r="A4" t="str">
            <v>Allegro</v>
          </cell>
          <cell r="G4" t="str">
            <v>HDS1L</v>
          </cell>
          <cell r="N4" t="str">
            <v>HDS1R</v>
          </cell>
        </row>
        <row r="5">
          <cell r="A5" t="str">
            <v>Amerada Hess</v>
          </cell>
          <cell r="G5" t="str">
            <v>HDS1M</v>
          </cell>
          <cell r="N5" t="str">
            <v>Tracker</v>
          </cell>
        </row>
        <row r="6">
          <cell r="A6" t="str">
            <v>Amoco</v>
          </cell>
          <cell r="G6" t="str">
            <v>HDS1R</v>
          </cell>
          <cell r="N6" t="str">
            <v>GAM</v>
          </cell>
        </row>
        <row r="7">
          <cell r="A7" t="str">
            <v>Anadarko</v>
          </cell>
          <cell r="G7" t="str">
            <v>TRACKER</v>
          </cell>
          <cell r="N7" t="str">
            <v>CWR</v>
          </cell>
        </row>
        <row r="8">
          <cell r="A8" t="str">
            <v>Apache</v>
          </cell>
          <cell r="G8" t="str">
            <v>HDS1L/DPM</v>
          </cell>
          <cell r="N8" t="str">
            <v>CLSS</v>
          </cell>
        </row>
        <row r="9">
          <cell r="A9" t="str">
            <v>ATP</v>
          </cell>
          <cell r="G9" t="str">
            <v>HDS1M/DPM</v>
          </cell>
          <cell r="N9" t="str">
            <v>DFT</v>
          </cell>
        </row>
        <row r="10">
          <cell r="A10" t="str">
            <v>Aviara</v>
          </cell>
          <cell r="G10" t="str">
            <v>HDS1R/DPM</v>
          </cell>
          <cell r="N10" t="str">
            <v>DNSC</v>
          </cell>
        </row>
        <row r="11">
          <cell r="A11" t="str">
            <v>Ballard</v>
          </cell>
          <cell r="G11" t="str">
            <v>TRACKER/DPM</v>
          </cell>
          <cell r="N11" t="str">
            <v>DPM</v>
          </cell>
        </row>
        <row r="12">
          <cell r="A12" t="str">
            <v>Belco</v>
          </cell>
          <cell r="G12" t="str">
            <v>HDS1L/GAM</v>
          </cell>
          <cell r="N12" t="str">
            <v>PZIG</v>
          </cell>
        </row>
        <row r="13">
          <cell r="A13" t="str">
            <v>Benex Oil &amp; Gas</v>
          </cell>
          <cell r="G13" t="str">
            <v>HDS1R/GAM</v>
          </cell>
          <cell r="N13" t="str">
            <v>3DRS</v>
          </cell>
        </row>
        <row r="14">
          <cell r="A14" t="str">
            <v>Big Horn/Forest Oil</v>
          </cell>
          <cell r="G14" t="str">
            <v>TRACKER/GAM</v>
          </cell>
        </row>
        <row r="15">
          <cell r="A15" t="str">
            <v>Bois D'Arc</v>
          </cell>
          <cell r="G15" t="str">
            <v>HDS1L/GAM/DPM</v>
          </cell>
        </row>
        <row r="16">
          <cell r="A16" t="str">
            <v>BP / Amoco</v>
          </cell>
          <cell r="G16" t="str">
            <v>HDS1R/GAM/DPM</v>
          </cell>
        </row>
        <row r="17">
          <cell r="A17" t="str">
            <v>Brammer</v>
          </cell>
          <cell r="G17" t="str">
            <v>TRACKER/GAM/DPM</v>
          </cell>
          <cell r="N17" t="str">
            <v>HDS1M</v>
          </cell>
        </row>
        <row r="18">
          <cell r="A18" t="str">
            <v>BT Operating</v>
          </cell>
          <cell r="G18" t="str">
            <v>HDS1L/CWR</v>
          </cell>
          <cell r="N18" t="str">
            <v>CWR</v>
          </cell>
        </row>
        <row r="19">
          <cell r="A19" t="str">
            <v>Burgos</v>
          </cell>
          <cell r="G19" t="str">
            <v>HDS1M/CWR</v>
          </cell>
          <cell r="N19" t="str">
            <v>CLSS</v>
          </cell>
        </row>
        <row r="20">
          <cell r="A20" t="str">
            <v>Burlington Resources</v>
          </cell>
          <cell r="G20" t="str">
            <v>HDS1R/CWR</v>
          </cell>
          <cell r="N20" t="str">
            <v>DFT</v>
          </cell>
        </row>
        <row r="21">
          <cell r="A21" t="str">
            <v>Carrizo Oil &amp; Gas</v>
          </cell>
          <cell r="G21" t="str">
            <v>HDS1L/CWR/DPM</v>
          </cell>
          <cell r="N21" t="str">
            <v>DNSC</v>
          </cell>
        </row>
        <row r="22">
          <cell r="A22" t="str">
            <v>Castex Energy</v>
          </cell>
          <cell r="G22" t="str">
            <v>HDS1M/CWR/DPM</v>
          </cell>
          <cell r="N22" t="str">
            <v>DPM</v>
          </cell>
        </row>
        <row r="23">
          <cell r="A23" t="str">
            <v>Chesapeake</v>
          </cell>
          <cell r="G23" t="str">
            <v>HDS1R/CWR/DPM</v>
          </cell>
          <cell r="N23" t="str">
            <v>PZIG UXM</v>
          </cell>
        </row>
        <row r="24">
          <cell r="A24" t="str">
            <v>Chevron</v>
          </cell>
          <cell r="G24" t="str">
            <v>HDS1L/CWR/DNSC</v>
          </cell>
          <cell r="N24" t="str">
            <v>PZIG LXM</v>
          </cell>
        </row>
        <row r="25">
          <cell r="A25" t="str">
            <v>Clayton Directional</v>
          </cell>
          <cell r="G25" t="str">
            <v>HDS1M/CWR/DNSC</v>
          </cell>
          <cell r="N25" t="str">
            <v>2DRS</v>
          </cell>
        </row>
        <row r="26">
          <cell r="A26" t="str">
            <v>Clayton Williams</v>
          </cell>
          <cell r="G26" t="str">
            <v>HDS1R/CWR/DNSC</v>
          </cell>
          <cell r="N26" t="str">
            <v>3DRS</v>
          </cell>
        </row>
        <row r="27">
          <cell r="A27" t="str">
            <v>Cliffs</v>
          </cell>
          <cell r="G27" t="str">
            <v>HDS1L/CWR/DNSC/DPM</v>
          </cell>
          <cell r="N27" t="str">
            <v>Pulser</v>
          </cell>
        </row>
        <row r="28">
          <cell r="A28" t="str">
            <v>CNG Producing</v>
          </cell>
          <cell r="G28" t="str">
            <v>HDS1M/CWR/DNSC/DPM</v>
          </cell>
          <cell r="N28" t="str">
            <v>BMS</v>
          </cell>
        </row>
        <row r="29">
          <cell r="A29" t="str">
            <v>Coastal Oil &amp; Gas</v>
          </cell>
          <cell r="G29" t="str">
            <v>HDS1R/CWR/DNSC/DPM</v>
          </cell>
          <cell r="N29" t="str">
            <v>TrkrBat</v>
          </cell>
        </row>
        <row r="30">
          <cell r="A30" t="str">
            <v>Collins &amp; Ware</v>
          </cell>
          <cell r="G30" t="str">
            <v>HDS1L/CWR/CLSS</v>
          </cell>
          <cell r="N30" t="str">
            <v>TCM</v>
          </cell>
        </row>
        <row r="31">
          <cell r="A31" t="str">
            <v>Columbus Energy</v>
          </cell>
          <cell r="G31" t="str">
            <v>HDS1M/CWR/CLSS</v>
          </cell>
          <cell r="N31" t="str">
            <v>TrkrElec</v>
          </cell>
        </row>
        <row r="32">
          <cell r="A32" t="str">
            <v>Comstock Resources</v>
          </cell>
          <cell r="G32" t="str">
            <v>HDS1R/CWR/CLSS</v>
          </cell>
          <cell r="N32" t="str">
            <v>HDAS</v>
          </cell>
        </row>
        <row r="33">
          <cell r="A33" t="str">
            <v>Conoco</v>
          </cell>
          <cell r="G33" t="str">
            <v>HDS1L/CWR/CLSS/DPM</v>
          </cell>
          <cell r="N33" t="str">
            <v>HTC</v>
          </cell>
        </row>
        <row r="34">
          <cell r="A34" t="str">
            <v>Continental Directional</v>
          </cell>
          <cell r="G34" t="str">
            <v>HDS1M/CWR/CLSS/DPM</v>
          </cell>
          <cell r="N34" t="str">
            <v>UGS</v>
          </cell>
        </row>
        <row r="35">
          <cell r="A35" t="str">
            <v>Dallas Production</v>
          </cell>
          <cell r="G35" t="str">
            <v>HDS1R/CWR/CLSS/DPM</v>
          </cell>
          <cell r="N35" t="str">
            <v>Datalink</v>
          </cell>
        </row>
        <row r="36">
          <cell r="A36" t="str">
            <v>Denbury Management Inc.</v>
          </cell>
          <cell r="G36" t="str">
            <v>HDS1L/CWR/DNSC/CLSS</v>
          </cell>
        </row>
        <row r="37">
          <cell r="A37" t="str">
            <v>Dimension Energy Company</v>
          </cell>
          <cell r="G37" t="str">
            <v>HDS1M/CWR/DNSC/CLSS</v>
          </cell>
        </row>
        <row r="38">
          <cell r="A38" t="str">
            <v>DOR Engineering</v>
          </cell>
          <cell r="G38" t="str">
            <v>HDS1R/CWR/DNSC/CLSS</v>
          </cell>
        </row>
        <row r="39">
          <cell r="A39" t="str">
            <v>Duncan Energy</v>
          </cell>
          <cell r="G39" t="str">
            <v>HDS1L/CWR/DNSC/CLSS/DPM</v>
          </cell>
        </row>
        <row r="40">
          <cell r="A40" t="str">
            <v>Eagle/Northcoast Oil</v>
          </cell>
          <cell r="G40" t="str">
            <v>HDS1M/CWR/DNSC/CLSS/DPM</v>
          </cell>
        </row>
        <row r="41">
          <cell r="A41" t="str">
            <v xml:space="preserve">El Paso Production </v>
          </cell>
          <cell r="G41" t="str">
            <v>HDS1R/CWR/DNSC/CLSS/DPM</v>
          </cell>
        </row>
        <row r="42">
          <cell r="A42" t="str">
            <v>Elf Exploration</v>
          </cell>
          <cell r="G42" t="str">
            <v>CWR  MEMORY ONLY</v>
          </cell>
        </row>
        <row r="43">
          <cell r="A43" t="str">
            <v>Energy Development</v>
          </cell>
          <cell r="G43" t="str">
            <v>DNSC MEMORY ONLY</v>
          </cell>
        </row>
        <row r="44">
          <cell r="A44" t="str">
            <v>Enron Oil &amp; Gas</v>
          </cell>
          <cell r="G44" t="str">
            <v>CLSS MEMORY ONLY</v>
          </cell>
        </row>
        <row r="45">
          <cell r="A45" t="str">
            <v>Ensign</v>
          </cell>
          <cell r="G45" t="str">
            <v>DPM MEMORY ONLY</v>
          </cell>
        </row>
        <row r="46">
          <cell r="A46" t="str">
            <v>Esenjay</v>
          </cell>
        </row>
        <row r="47">
          <cell r="A47" t="str">
            <v>Exxon</v>
          </cell>
        </row>
        <row r="48">
          <cell r="A48" t="str">
            <v>Force Energy</v>
          </cell>
        </row>
        <row r="49">
          <cell r="A49" t="str">
            <v>Forest Oil Corp.</v>
          </cell>
        </row>
        <row r="50">
          <cell r="A50" t="str">
            <v>Franks/Shell</v>
          </cell>
        </row>
        <row r="51">
          <cell r="A51" t="str">
            <v>Freeport Sulphur</v>
          </cell>
        </row>
        <row r="52">
          <cell r="A52" t="str">
            <v>Gaither Petroleum</v>
          </cell>
        </row>
        <row r="53">
          <cell r="A53" t="str">
            <v>Gardes Directional</v>
          </cell>
        </row>
        <row r="54">
          <cell r="A54" t="str">
            <v>Gary Williams Prod Co</v>
          </cell>
        </row>
        <row r="55">
          <cell r="A55" t="str">
            <v>Geo Southern Energy Corp</v>
          </cell>
        </row>
        <row r="56">
          <cell r="A56" t="str">
            <v>Grand Operating</v>
          </cell>
        </row>
        <row r="57">
          <cell r="A57" t="str">
            <v>Greywolf Drilling</v>
          </cell>
        </row>
        <row r="58">
          <cell r="A58" t="str">
            <v>Hallwood Petroleum</v>
          </cell>
        </row>
        <row r="59">
          <cell r="A59" t="str">
            <v>Headington Oil Company</v>
          </cell>
        </row>
        <row r="60">
          <cell r="A60" t="str">
            <v>Horseshoe Energy</v>
          </cell>
        </row>
        <row r="61">
          <cell r="A61" t="str">
            <v>Houston Exploration</v>
          </cell>
        </row>
        <row r="62">
          <cell r="A62" t="str">
            <v>Howell Petroleum</v>
          </cell>
        </row>
        <row r="63">
          <cell r="A63" t="str">
            <v>I.P. Petroleum</v>
          </cell>
        </row>
        <row r="64">
          <cell r="A64" t="str">
            <v>Inwell/Belco</v>
          </cell>
        </row>
        <row r="65">
          <cell r="A65" t="str">
            <v>Inwell/Davis</v>
          </cell>
        </row>
        <row r="66">
          <cell r="A66" t="str">
            <v>Inwell/Vastar</v>
          </cell>
        </row>
        <row r="67">
          <cell r="A67" t="str">
            <v>J.M. Huber Corp</v>
          </cell>
        </row>
        <row r="68">
          <cell r="A68" t="str">
            <v>J.O.B. Operating</v>
          </cell>
        </row>
        <row r="69">
          <cell r="A69" t="str">
            <v>JN Oil &amp; Gas</v>
          </cell>
        </row>
        <row r="70">
          <cell r="A70" t="str">
            <v>Justiss Oil Company</v>
          </cell>
        </row>
        <row r="71">
          <cell r="A71" t="str">
            <v>KCS Resources</v>
          </cell>
        </row>
        <row r="72">
          <cell r="A72" t="str">
            <v>Key Energy</v>
          </cell>
        </row>
        <row r="73">
          <cell r="A73" t="str">
            <v>Leam/Westport</v>
          </cell>
        </row>
        <row r="74">
          <cell r="A74" t="str">
            <v>Legacy Resources</v>
          </cell>
        </row>
        <row r="75">
          <cell r="A75" t="str">
            <v>Llinder Oil &amp; Gas</v>
          </cell>
        </row>
        <row r="76">
          <cell r="A76" t="str">
            <v>LLOG</v>
          </cell>
        </row>
        <row r="77">
          <cell r="A77" t="str">
            <v>Manti Operating</v>
          </cell>
        </row>
        <row r="78">
          <cell r="A78" t="str">
            <v>Marathon</v>
          </cell>
        </row>
        <row r="79">
          <cell r="A79" t="str">
            <v>Mariner Energy</v>
          </cell>
        </row>
        <row r="80">
          <cell r="A80" t="str">
            <v>Mayne &amp; Mertz</v>
          </cell>
        </row>
        <row r="81">
          <cell r="A81" t="str">
            <v>McMoran Oil &amp; Gas</v>
          </cell>
        </row>
        <row r="82">
          <cell r="A82" t="str">
            <v>MEPUS</v>
          </cell>
        </row>
        <row r="83">
          <cell r="A83" t="str">
            <v>Meridian Res</v>
          </cell>
          <cell r="G83" t="str">
            <v>NO</v>
          </cell>
        </row>
        <row r="84">
          <cell r="A84" t="str">
            <v>Mitchell Energy</v>
          </cell>
          <cell r="G84" t="str">
            <v>HDS1L</v>
          </cell>
        </row>
        <row r="85">
          <cell r="A85" t="str">
            <v>Murphy</v>
          </cell>
          <cell r="G85" t="str">
            <v>HDS1M</v>
          </cell>
        </row>
        <row r="86">
          <cell r="A86" t="str">
            <v>Nabors Performance</v>
          </cell>
          <cell r="G86" t="str">
            <v>HDS1R</v>
          </cell>
        </row>
        <row r="87">
          <cell r="A87" t="str">
            <v>Nabors Turnkey</v>
          </cell>
          <cell r="G87" t="str">
            <v>TRACKER</v>
          </cell>
        </row>
        <row r="88">
          <cell r="A88" t="str">
            <v>Neumin Production</v>
          </cell>
          <cell r="G88" t="str">
            <v>CWR</v>
          </cell>
        </row>
        <row r="89">
          <cell r="A89" t="str">
            <v>Newfield</v>
          </cell>
          <cell r="G89" t="str">
            <v>DNSC</v>
          </cell>
        </row>
        <row r="90">
          <cell r="A90" t="str">
            <v>Nippon Oil Exploration</v>
          </cell>
          <cell r="G90" t="str">
            <v>CLSS</v>
          </cell>
        </row>
        <row r="91">
          <cell r="A91" t="str">
            <v>Norcen Explorer</v>
          </cell>
          <cell r="G91" t="str">
            <v>DPM</v>
          </cell>
        </row>
        <row r="92">
          <cell r="A92" t="str">
            <v>North Central</v>
          </cell>
          <cell r="G92" t="str">
            <v>SURFACE</v>
          </cell>
        </row>
        <row r="93">
          <cell r="A93" t="str">
            <v>Ocean Energy Inc</v>
          </cell>
          <cell r="G93" t="str">
            <v>OTHER</v>
          </cell>
        </row>
        <row r="94">
          <cell r="A94" t="str">
            <v>OGE Drilling USA</v>
          </cell>
        </row>
        <row r="95">
          <cell r="A95" t="str">
            <v>Oxy USA</v>
          </cell>
        </row>
        <row r="96">
          <cell r="A96" t="str">
            <v>PDW / Tom Brown</v>
          </cell>
        </row>
        <row r="97">
          <cell r="A97" t="str">
            <v>PDW/NARCO</v>
          </cell>
        </row>
        <row r="98">
          <cell r="A98" t="str">
            <v>Pennz Energy</v>
          </cell>
        </row>
        <row r="99">
          <cell r="A99" t="str">
            <v>PetroQuest</v>
          </cell>
        </row>
        <row r="100">
          <cell r="A100" t="str">
            <v>Petsec</v>
          </cell>
        </row>
        <row r="101">
          <cell r="A101" t="str">
            <v>Philliber/Badger</v>
          </cell>
        </row>
        <row r="102">
          <cell r="A102" t="str">
            <v>Phillips Petroleum</v>
          </cell>
        </row>
        <row r="103">
          <cell r="A103" t="str">
            <v>Prime LLC/John L Cox</v>
          </cell>
          <cell r="G103" t="str">
            <v>WATER</v>
          </cell>
        </row>
        <row r="104">
          <cell r="A104" t="str">
            <v>Prime Natural Resources</v>
          </cell>
          <cell r="G104" t="str">
            <v>OIL</v>
          </cell>
        </row>
        <row r="105">
          <cell r="A105" t="str">
            <v>Reading &amp; Bates</v>
          </cell>
          <cell r="G105" t="str">
            <v>SYN OIL</v>
          </cell>
        </row>
        <row r="106">
          <cell r="A106" t="str">
            <v>Riceland Petroleum</v>
          </cell>
          <cell r="G106" t="str">
            <v>SALT</v>
          </cell>
        </row>
        <row r="107">
          <cell r="A107" t="str">
            <v>Ridgelake Energy</v>
          </cell>
          <cell r="G107" t="str">
            <v>AIR</v>
          </cell>
        </row>
        <row r="108">
          <cell r="A108" t="str">
            <v>Rincon Island Ltd</v>
          </cell>
        </row>
        <row r="109">
          <cell r="A109" t="str">
            <v>Rio Bravo</v>
          </cell>
        </row>
        <row r="110">
          <cell r="A110" t="str">
            <v>Rutherford Oil</v>
          </cell>
        </row>
        <row r="111">
          <cell r="A111" t="str">
            <v>Ryan/DTI</v>
          </cell>
        </row>
        <row r="112">
          <cell r="A112" t="str">
            <v>Sam Gary Jr &amp; Associates</v>
          </cell>
        </row>
        <row r="113">
          <cell r="A113" t="str">
            <v>Samedan Oil Company</v>
          </cell>
        </row>
        <row r="114">
          <cell r="A114" t="str">
            <v>Samson Resources</v>
          </cell>
        </row>
        <row r="115">
          <cell r="A115" t="str">
            <v>Sanchez O'Brien</v>
          </cell>
        </row>
        <row r="116">
          <cell r="A116" t="str">
            <v>Santa Fe Petroleum</v>
          </cell>
        </row>
        <row r="117">
          <cell r="A117" t="str">
            <v>Seagull</v>
          </cell>
        </row>
        <row r="118">
          <cell r="A118" t="str">
            <v>Shell Offshore Inc</v>
          </cell>
        </row>
        <row r="119">
          <cell r="A119" t="str">
            <v>Sonat Exploration</v>
          </cell>
        </row>
        <row r="120">
          <cell r="A120" t="str">
            <v>Spinnaker Exploration</v>
          </cell>
        </row>
        <row r="121">
          <cell r="A121" t="str">
            <v>Spirit Energy 76</v>
          </cell>
        </row>
        <row r="122">
          <cell r="A122" t="str">
            <v>Stocker Resources</v>
          </cell>
        </row>
        <row r="123">
          <cell r="A123" t="str">
            <v>Stone Energy</v>
          </cell>
          <cell r="G123">
            <v>3.5</v>
          </cell>
        </row>
        <row r="124">
          <cell r="A124" t="str">
            <v>STRATA/CNG</v>
          </cell>
          <cell r="G124">
            <v>4.75</v>
          </cell>
        </row>
        <row r="125">
          <cell r="A125" t="str">
            <v>Taylor Energy</v>
          </cell>
          <cell r="G125">
            <v>6.375</v>
          </cell>
        </row>
        <row r="126">
          <cell r="A126" t="str">
            <v>Tesoro E&amp;P</v>
          </cell>
          <cell r="G126">
            <v>6.5</v>
          </cell>
        </row>
        <row r="127">
          <cell r="A127" t="str">
            <v>Texaco</v>
          </cell>
          <cell r="G127">
            <v>6.75</v>
          </cell>
        </row>
        <row r="128">
          <cell r="A128" t="str">
            <v>Texas American Resources</v>
          </cell>
          <cell r="G128">
            <v>7.25</v>
          </cell>
        </row>
        <row r="129">
          <cell r="A129" t="str">
            <v>Textron</v>
          </cell>
          <cell r="G129">
            <v>7.75</v>
          </cell>
        </row>
        <row r="130">
          <cell r="A130" t="str">
            <v>Titan</v>
          </cell>
          <cell r="G130">
            <v>8</v>
          </cell>
        </row>
        <row r="131">
          <cell r="A131" t="str">
            <v>Transworld Exploration &amp; Production</v>
          </cell>
          <cell r="G131">
            <v>9.5</v>
          </cell>
        </row>
        <row r="132">
          <cell r="A132" t="str">
            <v xml:space="preserve">Triton </v>
          </cell>
          <cell r="G132">
            <v>12.25</v>
          </cell>
        </row>
        <row r="133">
          <cell r="A133" t="str">
            <v>Triton/Bois D'Arc</v>
          </cell>
        </row>
        <row r="134">
          <cell r="A134" t="str">
            <v>Triton/Chevron</v>
          </cell>
        </row>
        <row r="135">
          <cell r="A135" t="str">
            <v>Triton/Tanna</v>
          </cell>
        </row>
        <row r="136">
          <cell r="A136" t="str">
            <v>Triton/Vastar</v>
          </cell>
        </row>
        <row r="137">
          <cell r="A137" t="str">
            <v>UMC Petroleum</v>
          </cell>
        </row>
        <row r="138">
          <cell r="A138" t="str">
            <v>United GeoCom</v>
          </cell>
        </row>
        <row r="139">
          <cell r="A139" t="str">
            <v>United World Energy</v>
          </cell>
        </row>
        <row r="140">
          <cell r="A140" t="str">
            <v>Universal Resources</v>
          </cell>
        </row>
        <row r="141">
          <cell r="A141" t="str">
            <v>UPR</v>
          </cell>
        </row>
        <row r="142">
          <cell r="A142" t="str">
            <v>US Enercorp</v>
          </cell>
          <cell r="G142" t="str">
            <v>NO</v>
          </cell>
        </row>
        <row r="143">
          <cell r="A143" t="str">
            <v>Vastar</v>
          </cell>
          <cell r="G143" t="str">
            <v>YES</v>
          </cell>
        </row>
        <row r="144">
          <cell r="A144" t="str">
            <v>Vintage Petroleum</v>
          </cell>
        </row>
        <row r="145">
          <cell r="A145" t="str">
            <v>W A Moncrief Jr</v>
          </cell>
        </row>
        <row r="146">
          <cell r="A146" t="str">
            <v>Walter Oil &amp; Gas</v>
          </cell>
        </row>
        <row r="147">
          <cell r="A147" t="str">
            <v>Westland Resources</v>
          </cell>
          <cell r="G147" t="str">
            <v>NO</v>
          </cell>
        </row>
        <row r="148">
          <cell r="A148" t="str">
            <v>Wiser Oil</v>
          </cell>
          <cell r="G148" t="str">
            <v>T</v>
          </cell>
        </row>
        <row r="149">
          <cell r="G149" t="str">
            <v>R</v>
          </cell>
        </row>
        <row r="174">
          <cell r="G174" t="str">
            <v>2DRS</v>
          </cell>
        </row>
        <row r="175">
          <cell r="G175" t="str">
            <v>3DRS</v>
          </cell>
        </row>
        <row r="176">
          <cell r="G176" t="str">
            <v>CLSS</v>
          </cell>
        </row>
        <row r="177">
          <cell r="G177" t="str">
            <v>CWR</v>
          </cell>
        </row>
        <row r="178">
          <cell r="G178" t="str">
            <v>SCWR</v>
          </cell>
        </row>
        <row r="179">
          <cell r="G179" t="str">
            <v>AWR</v>
          </cell>
        </row>
        <row r="180">
          <cell r="G180" t="str">
            <v>SAWR</v>
          </cell>
        </row>
        <row r="181">
          <cell r="G181" t="str">
            <v>ABS</v>
          </cell>
        </row>
        <row r="182">
          <cell r="G182" t="str">
            <v>DFT</v>
          </cell>
        </row>
        <row r="183">
          <cell r="G183" t="str">
            <v>ISDNS</v>
          </cell>
        </row>
        <row r="184">
          <cell r="G184" t="str">
            <v>SDNSC</v>
          </cell>
        </row>
        <row r="185">
          <cell r="G185" t="str">
            <v>DNSC</v>
          </cell>
        </row>
        <row r="186">
          <cell r="G186" t="str">
            <v>IDNSC</v>
          </cell>
        </row>
        <row r="187">
          <cell r="G187" t="str">
            <v>QPM</v>
          </cell>
        </row>
        <row r="188">
          <cell r="G188" t="str">
            <v>HDS1M</v>
          </cell>
        </row>
        <row r="189">
          <cell r="G189" t="str">
            <v>PZIG UXM</v>
          </cell>
        </row>
        <row r="190">
          <cell r="G190" t="str">
            <v>PZIG LXM</v>
          </cell>
        </row>
        <row r="191">
          <cell r="G191" t="str">
            <v>INLINE STABILIZER</v>
          </cell>
        </row>
      </sheetData>
      <sheetData sheetId="9" refreshError="1"/>
      <sheetData sheetId="10"/>
      <sheetData sheetId="11">
        <row r="4">
          <cell r="X4" t="str">
            <v>HDS1M Tool</v>
          </cell>
        </row>
      </sheetData>
      <sheetData sheetId="12"/>
      <sheetData sheetId="13"/>
      <sheetData sheetId="14">
        <row r="2">
          <cell r="N2" t="str">
            <v>Sep 04 2019</v>
          </cell>
        </row>
      </sheetData>
      <sheetData sheetId="15"/>
      <sheetData sheetId="16"/>
      <sheetData sheetId="17">
        <row r="2">
          <cell r="N2"/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5&quot; HWDP "/>
      <sheetName val="5&quot; D.P. 45"/>
      <sheetName val="Blank Triples"/>
      <sheetName val="Torques"/>
      <sheetName val="PUMP GPM"/>
      <sheetName val="TFA"/>
      <sheetName val="K-Revolutions On Bit"/>
      <sheetName val="Surveys"/>
      <sheetName val="4.5&quot; HWDP "/>
      <sheetName val="DC &amp; HWDP"/>
      <sheetName val="Doubles tally"/>
      <sheetName val="Sheet2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lly"/>
      <sheetName val="Surveys Main"/>
      <sheetName val="Email Auto Body"/>
      <sheetName val="Pioneer Auto Email Body"/>
      <sheetName val="Rename Files"/>
      <sheetName val="Blank"/>
      <sheetName val="Survey Sheet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Sheet"/>
      <sheetName val="Shipping Request"/>
      <sheetName val="CD MMS Label"/>
      <sheetName val="LABELS1"/>
      <sheetName val="ENGR Compliance"/>
      <sheetName val="MMS Labels  (3)"/>
      <sheetName val="MMS Labels  (2)"/>
      <sheetName val="S R 12.25 3DRS"/>
      <sheetName val="S R 8.5 3DRS"/>
      <sheetName val="S R 9.875 3DRS"/>
      <sheetName val="tables"/>
    </sheetNames>
    <sheetDataSet>
      <sheetData sheetId="0">
        <row r="2">
          <cell r="W2" t="str">
            <v>0-</v>
          </cell>
        </row>
      </sheetData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1">
          <cell r="A1" t="str">
            <v xml:space="preserve"> 3-1/2</v>
          </cell>
          <cell r="C1">
            <v>1010</v>
          </cell>
        </row>
        <row r="2">
          <cell r="A2" t="str">
            <v xml:space="preserve"> 3-1/8</v>
          </cell>
          <cell r="C2">
            <v>1020</v>
          </cell>
        </row>
        <row r="3">
          <cell r="A3" t="str">
            <v xml:space="preserve"> 4-3/4</v>
          </cell>
          <cell r="C3">
            <v>1030</v>
          </cell>
        </row>
        <row r="4">
          <cell r="A4" t="str">
            <v xml:space="preserve"> 6-1/2</v>
          </cell>
          <cell r="C4">
            <v>1040</v>
          </cell>
        </row>
        <row r="5">
          <cell r="A5" t="str">
            <v xml:space="preserve"> 6-1/4</v>
          </cell>
          <cell r="C5">
            <v>1050</v>
          </cell>
        </row>
        <row r="6">
          <cell r="A6" t="str">
            <v xml:space="preserve"> 6-3/4</v>
          </cell>
          <cell r="C6">
            <v>1510</v>
          </cell>
        </row>
        <row r="7">
          <cell r="A7" t="str">
            <v xml:space="preserve"> 6-3/4</v>
          </cell>
          <cell r="C7">
            <v>1520</v>
          </cell>
        </row>
        <row r="8">
          <cell r="A8" t="str">
            <v xml:space="preserve"> 6-3/8</v>
          </cell>
          <cell r="C8">
            <v>1530</v>
          </cell>
        </row>
        <row r="9">
          <cell r="A9" t="str">
            <v xml:space="preserve"> 7-1/4</v>
          </cell>
          <cell r="C9">
            <v>1531</v>
          </cell>
        </row>
        <row r="10">
          <cell r="A10" t="str">
            <v xml:space="preserve"> 7-3/4</v>
          </cell>
          <cell r="C10">
            <v>1540</v>
          </cell>
        </row>
        <row r="11">
          <cell r="A11" t="str">
            <v xml:space="preserve"> 8</v>
          </cell>
          <cell r="C11">
            <v>1550</v>
          </cell>
        </row>
        <row r="12">
          <cell r="A12" t="str">
            <v xml:space="preserve"> 9-1/2</v>
          </cell>
          <cell r="C12">
            <v>1560</v>
          </cell>
        </row>
        <row r="13">
          <cell r="C13">
            <v>1570</v>
          </cell>
        </row>
        <row r="14">
          <cell r="C14">
            <v>1580</v>
          </cell>
        </row>
        <row r="15">
          <cell r="C15">
            <v>2020</v>
          </cell>
        </row>
        <row r="16">
          <cell r="C16">
            <v>4080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EADER INFO"/>
      <sheetName val="DAILY RPT"/>
      <sheetName val="TOOL HRS"/>
      <sheetName val="NEW BITRUN"/>
      <sheetName val="SURVEY CALC"/>
      <sheetName val="SURVEY"/>
      <sheetName val="EFR"/>
      <sheetName val="3rd Party Job Ticket"/>
      <sheetName val="Module1"/>
      <sheetName val="TS 4-15"/>
      <sheetName val="TS 4-30"/>
      <sheetName val="TS 5-15"/>
      <sheetName val="TS 5-29"/>
      <sheetName val="TS 6-15"/>
      <sheetName val="TA 6-30"/>
      <sheetName val="TS 7-15"/>
      <sheetName val="TS 7-31"/>
      <sheetName val="TS 7-31 (2)"/>
      <sheetName val="TS 8-14"/>
      <sheetName val="TA 8-31"/>
      <sheetName val="TS 9-15"/>
      <sheetName val="TS 9-30 "/>
      <sheetName val="TS 10-15"/>
      <sheetName val="TS 10-30"/>
      <sheetName val="TS 11-13"/>
      <sheetName val="TS 11-30"/>
      <sheetName val="TS 12-15"/>
      <sheetName val="TS 12-31"/>
      <sheetName val="#REF"/>
    </sheetNames>
    <sheetDataSet>
      <sheetData sheetId="0">
        <row r="3">
          <cell r="D3">
            <v>20475</v>
          </cell>
        </row>
        <row r="5">
          <cell r="D5" t="str">
            <v>great western drilling company</v>
          </cell>
        </row>
        <row r="7">
          <cell r="D7" t="str">
            <v>sledge # 11</v>
          </cell>
        </row>
        <row r="9">
          <cell r="D9" t="str">
            <v>c &amp; h 13 #4</v>
          </cell>
        </row>
        <row r="20">
          <cell r="D20">
            <v>7.6</v>
          </cell>
        </row>
        <row r="22">
          <cell r="D22" t="str">
            <v>10.256</v>
          </cell>
        </row>
        <row r="28">
          <cell r="D28">
            <v>199.32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ralis Import"/>
      <sheetName val="Snapshot"/>
      <sheetName val="Personnel"/>
      <sheetName val="Raw Surveys"/>
      <sheetName val="Last Survey"/>
      <sheetName val="Sheet1"/>
      <sheetName val="Instructions"/>
      <sheetName val="Updates"/>
    </sheetNames>
    <sheetDataSet>
      <sheetData sheetId="0"/>
      <sheetData sheetId="1">
        <row r="10">
          <cell r="L10">
            <v>91.8</v>
          </cell>
        </row>
        <row r="11">
          <cell r="L11">
            <v>17.2</v>
          </cell>
        </row>
        <row r="12">
          <cell r="L12">
            <v>5.4</v>
          </cell>
        </row>
        <row r="13">
          <cell r="L13">
            <v>8692.9</v>
          </cell>
        </row>
        <row r="14">
          <cell r="L14">
            <v>8943.7000000000007</v>
          </cell>
        </row>
        <row r="17">
          <cell r="L17">
            <v>16.399999999999999</v>
          </cell>
        </row>
        <row r="18">
          <cell r="L18">
            <v>4.5999999999999996</v>
          </cell>
        </row>
        <row r="19">
          <cell r="L19">
            <v>17</v>
          </cell>
        </row>
        <row r="20">
          <cell r="L20">
            <v>383.4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Info."/>
      <sheetName val="JSA"/>
      <sheetName val="BHASheet"/>
      <sheetName val="Shipping"/>
      <sheetName val="Personnel Tracking"/>
      <sheetName val="Gamma Correction"/>
      <sheetName val="Gamma Chart"/>
      <sheetName val="Mud Pulse Inventory"/>
      <sheetName val="Offsets"/>
      <sheetName val="Run Summary"/>
      <sheetName val="Daily"/>
      <sheetName val="Email Body"/>
      <sheetName val="Surveys"/>
      <sheetName val="Bottom Line"/>
      <sheetName val="Survey Certification"/>
      <sheetName val="Field Incident Repo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3">
          <cell r="Z13" t="str">
            <v>Transmitter</v>
          </cell>
        </row>
        <row r="14">
          <cell r="Z14" t="str">
            <v>GT</v>
          </cell>
        </row>
        <row r="15">
          <cell r="Z15" t="str">
            <v>PDEM</v>
          </cell>
        </row>
        <row r="16">
          <cell r="Z16" t="str">
            <v>Gam</v>
          </cell>
        </row>
        <row r="17">
          <cell r="Z17" t="str">
            <v>SDM</v>
          </cell>
        </row>
        <row r="18">
          <cell r="Z18" t="str">
            <v xml:space="preserve">DIMM  </v>
          </cell>
        </row>
        <row r="19">
          <cell r="Z19" t="str">
            <v>VibMon</v>
          </cell>
        </row>
        <row r="20">
          <cell r="Z20" t="str">
            <v>Battery</v>
          </cell>
        </row>
        <row r="21">
          <cell r="D21" t="str">
            <v>650-055</v>
          </cell>
          <cell r="E21" t="str">
            <v>650-079</v>
          </cell>
          <cell r="Z21" t="str">
            <v>UBHO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yrodata Surveys"/>
      <sheetName val="Version"/>
      <sheetName val="FileName"/>
      <sheetName val="Gyrodata_Surveys"/>
      <sheetName val="Sheet1"/>
      <sheetName val="Sheet2"/>
      <sheetName val="Sheet3"/>
    </sheetNames>
    <sheetDataSet>
      <sheetData sheetId="0"/>
      <sheetData sheetId="1" refreshError="1"/>
      <sheetData sheetId="2">
        <row r="5">
          <cell r="B5" t="str">
            <v>Priddy-Fischer 10</v>
          </cell>
        </row>
        <row r="6">
          <cell r="B6" t="str">
            <v>#4H</v>
          </cell>
        </row>
      </sheetData>
      <sheetData sheetId="3"/>
      <sheetData sheetId="4"/>
      <sheetData sheetId="5"/>
      <sheetData sheetId="6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delawaredrl_surveys@oxyinc.onmicrosoft.com" TargetMode="External"/><Relationship Id="rId2" Type="http://schemas.openxmlformats.org/officeDocument/2006/relationships/hyperlink" Target="mailto:rig9@pfs.energy" TargetMode="External"/><Relationship Id="rId1" Type="http://schemas.openxmlformats.org/officeDocument/2006/relationships/hyperlink" Target="mailto:DSM_Rig9@oxy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surveys@trueshotllc.com" TargetMode="External"/><Relationship Id="rId4" Type="http://schemas.openxmlformats.org/officeDocument/2006/relationships/hyperlink" Target="mailto:roger.dubose@pfs.energy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EFF94-AEB0-4352-A4C0-309B5BB9A9E2}">
  <sheetPr codeName="Sheet1"/>
  <dimension ref="A1:AE1206"/>
  <sheetViews>
    <sheetView showGridLines="0" view="pageBreakPreview" zoomScale="120" zoomScaleNormal="120" zoomScaleSheetLayoutView="120" workbookViewId="0">
      <selection activeCell="B11" sqref="B11:B182"/>
    </sheetView>
  </sheetViews>
  <sheetFormatPr defaultColWidth="9.140625" defaultRowHeight="12.75" x14ac:dyDescent="0.2"/>
  <cols>
    <col min="1" max="1" width="7.28515625" style="15" customWidth="1"/>
    <col min="2" max="2" width="11.42578125" style="16" customWidth="1"/>
    <col min="3" max="4" width="7.5703125" style="15" customWidth="1"/>
    <col min="5" max="5" width="7.5703125" style="16" customWidth="1"/>
    <col min="6" max="6" width="15.85546875" style="15" customWidth="1"/>
    <col min="7" max="7" width="12.7109375" style="15" customWidth="1"/>
    <col min="8" max="8" width="8.28515625" style="15" customWidth="1"/>
    <col min="9" max="9" width="2.42578125" style="15" customWidth="1"/>
    <col min="10" max="10" width="10.5703125" style="15" customWidth="1"/>
    <col min="11" max="11" width="2.42578125" style="15" customWidth="1"/>
    <col min="12" max="12" width="9.140625" style="15"/>
    <col min="13" max="13" width="12.140625" style="15" customWidth="1"/>
    <col min="14" max="14" width="7.7109375" style="15" customWidth="1"/>
    <col min="15" max="15" width="7.5703125" style="15" customWidth="1"/>
    <col min="16" max="16" width="9" style="15" customWidth="1"/>
    <col min="17" max="27" width="9.140625" style="15" hidden="1" customWidth="1"/>
    <col min="28" max="29" width="9.140625" style="15" customWidth="1"/>
    <col min="30" max="30" width="9.140625" style="15"/>
    <col min="31" max="31" width="16.42578125" style="15" customWidth="1"/>
    <col min="32" max="16384" width="9.140625" style="15"/>
  </cols>
  <sheetData>
    <row r="1" spans="1:31" ht="16.5" customHeight="1" thickBot="1" x14ac:dyDescent="0.25">
      <c r="C1" s="17" t="s">
        <v>0</v>
      </c>
      <c r="D1" s="207" t="s">
        <v>120</v>
      </c>
      <c r="E1" s="207"/>
      <c r="F1" s="207"/>
      <c r="G1" s="10" t="s">
        <v>1</v>
      </c>
      <c r="H1" s="204" t="s">
        <v>128</v>
      </c>
      <c r="I1" s="204"/>
      <c r="J1" s="204"/>
      <c r="K1" s="1"/>
      <c r="L1" s="11" t="s">
        <v>2</v>
      </c>
      <c r="M1" s="1"/>
      <c r="N1" s="1" t="str">
        <f>INDEX(S1:S3,U1)</f>
        <v>Minimum Curvature</v>
      </c>
      <c r="O1" s="1"/>
      <c r="S1" s="15" t="s">
        <v>3</v>
      </c>
      <c r="U1" s="15">
        <v>1</v>
      </c>
      <c r="V1" s="15" t="s">
        <v>46</v>
      </c>
      <c r="AE1" s="18"/>
    </row>
    <row r="2" spans="1:31" ht="13.5" thickBot="1" x14ac:dyDescent="0.25">
      <c r="C2" s="17" t="s">
        <v>4</v>
      </c>
      <c r="D2" s="208" t="s">
        <v>126</v>
      </c>
      <c r="E2" s="208"/>
      <c r="F2" s="208"/>
      <c r="G2" s="10" t="s">
        <v>50</v>
      </c>
      <c r="H2" s="205">
        <v>8.0500000000000007</v>
      </c>
      <c r="I2" s="205"/>
      <c r="J2" s="205"/>
      <c r="K2" s="1"/>
      <c r="L2" s="11" t="s">
        <v>5</v>
      </c>
      <c r="M2" s="1"/>
      <c r="N2" s="195">
        <v>0</v>
      </c>
      <c r="O2" s="1"/>
      <c r="S2" s="15" t="s">
        <v>6</v>
      </c>
      <c r="V2" s="15" t="s">
        <v>47</v>
      </c>
    </row>
    <row r="3" spans="1:31" ht="13.5" thickBot="1" x14ac:dyDescent="0.25">
      <c r="C3" s="17" t="s">
        <v>7</v>
      </c>
      <c r="D3" s="209" t="s">
        <v>127</v>
      </c>
      <c r="E3" s="209"/>
      <c r="F3" s="209"/>
      <c r="G3" s="10" t="s">
        <v>43</v>
      </c>
      <c r="H3" s="206" t="s">
        <v>123</v>
      </c>
      <c r="I3" s="206"/>
      <c r="J3" s="206"/>
      <c r="K3" s="1"/>
      <c r="L3" s="11" t="s">
        <v>9</v>
      </c>
      <c r="M3" s="1"/>
      <c r="N3" s="91">
        <v>12.5</v>
      </c>
      <c r="O3" s="6"/>
      <c r="S3" s="15" t="s">
        <v>10</v>
      </c>
      <c r="V3" s="15" t="s">
        <v>48</v>
      </c>
    </row>
    <row r="4" spans="1:31" ht="13.5" thickBot="1" x14ac:dyDescent="0.25">
      <c r="C4" s="17" t="s">
        <v>11</v>
      </c>
      <c r="D4" s="209" t="s">
        <v>122</v>
      </c>
      <c r="E4" s="209"/>
      <c r="F4" s="209"/>
      <c r="G4" s="10" t="s">
        <v>114</v>
      </c>
      <c r="H4" s="206" t="s">
        <v>115</v>
      </c>
      <c r="I4" s="206"/>
      <c r="J4" s="206"/>
      <c r="K4" s="1"/>
      <c r="L4" s="11" t="s">
        <v>12</v>
      </c>
      <c r="M4" s="201" t="s">
        <v>48</v>
      </c>
      <c r="N4" s="202"/>
      <c r="O4" s="202"/>
      <c r="P4" s="19"/>
      <c r="V4" s="15" t="s">
        <v>49</v>
      </c>
    </row>
    <row r="5" spans="1:31" ht="13.5" thickBot="1" x14ac:dyDescent="0.25">
      <c r="C5" s="20" t="s">
        <v>45</v>
      </c>
      <c r="D5" s="203" t="s">
        <v>131</v>
      </c>
      <c r="E5" s="203"/>
      <c r="F5" s="203"/>
      <c r="G5" s="1"/>
      <c r="H5" s="12"/>
      <c r="I5" s="1"/>
      <c r="J5" s="1"/>
      <c r="K5" s="1"/>
      <c r="L5" s="13"/>
      <c r="M5" s="1"/>
      <c r="N5" s="1"/>
      <c r="O5" s="1"/>
    </row>
    <row r="6" spans="1:31" x14ac:dyDescent="0.2">
      <c r="A6" s="21" t="s">
        <v>13</v>
      </c>
      <c r="B6" s="22" t="s">
        <v>14</v>
      </c>
      <c r="C6" s="23" t="s">
        <v>15</v>
      </c>
      <c r="D6" s="24"/>
      <c r="E6" s="25" t="s">
        <v>16</v>
      </c>
      <c r="F6" s="24" t="s">
        <v>17</v>
      </c>
      <c r="G6" s="23" t="s">
        <v>18</v>
      </c>
      <c r="H6" s="26" t="s">
        <v>19</v>
      </c>
      <c r="I6" s="26"/>
      <c r="J6" s="26"/>
      <c r="K6" s="27"/>
      <c r="L6" s="26" t="s">
        <v>20</v>
      </c>
      <c r="M6" s="27"/>
      <c r="N6" s="24" t="s">
        <v>21</v>
      </c>
      <c r="O6" s="23" t="s">
        <v>22</v>
      </c>
      <c r="P6" s="28" t="s">
        <v>23</v>
      </c>
    </row>
    <row r="7" spans="1:31" x14ac:dyDescent="0.2">
      <c r="A7" s="29" t="s">
        <v>24</v>
      </c>
      <c r="B7" s="30" t="s">
        <v>25</v>
      </c>
      <c r="C7" s="31" t="s">
        <v>26</v>
      </c>
      <c r="D7" s="32" t="s">
        <v>27</v>
      </c>
      <c r="E7" s="33" t="s">
        <v>28</v>
      </c>
      <c r="F7" s="32" t="s">
        <v>25</v>
      </c>
      <c r="G7" s="31" t="s">
        <v>29</v>
      </c>
      <c r="H7" s="32" t="s">
        <v>30</v>
      </c>
      <c r="I7" s="34"/>
      <c r="J7" s="32" t="s">
        <v>31</v>
      </c>
      <c r="K7" s="34"/>
      <c r="L7" s="34" t="s">
        <v>32</v>
      </c>
      <c r="M7" s="34" t="s">
        <v>33</v>
      </c>
      <c r="N7" s="32" t="s">
        <v>34</v>
      </c>
      <c r="O7" s="31" t="s">
        <v>35</v>
      </c>
      <c r="P7" s="35" t="s">
        <v>35</v>
      </c>
    </row>
    <row r="8" spans="1:31" ht="13.5" thickBot="1" x14ac:dyDescent="0.25">
      <c r="A8" s="36"/>
      <c r="B8" s="37" t="s">
        <v>36</v>
      </c>
      <c r="C8" s="38" t="s">
        <v>37</v>
      </c>
      <c r="D8" s="39" t="s">
        <v>37</v>
      </c>
      <c r="E8" s="40" t="s">
        <v>36</v>
      </c>
      <c r="F8" s="39" t="s">
        <v>36</v>
      </c>
      <c r="G8" s="38" t="s">
        <v>36</v>
      </c>
      <c r="H8" s="39" t="s">
        <v>36</v>
      </c>
      <c r="I8" s="41"/>
      <c r="J8" s="39" t="s">
        <v>36</v>
      </c>
      <c r="K8" s="41"/>
      <c r="L8" s="41" t="s">
        <v>36</v>
      </c>
      <c r="M8" s="41" t="s">
        <v>27</v>
      </c>
      <c r="N8" s="39" t="s">
        <v>38</v>
      </c>
      <c r="O8" s="38" t="s">
        <v>38</v>
      </c>
      <c r="P8" s="42" t="s">
        <v>38</v>
      </c>
      <c r="S8" s="15" t="s">
        <v>8</v>
      </c>
      <c r="T8" s="15" t="s">
        <v>8</v>
      </c>
    </row>
    <row r="9" spans="1:31" x14ac:dyDescent="0.2">
      <c r="A9" s="43"/>
      <c r="B9" s="44"/>
      <c r="C9" s="26"/>
      <c r="D9" s="26"/>
      <c r="E9" s="44"/>
      <c r="F9" s="26"/>
      <c r="G9" s="26"/>
      <c r="H9" s="26"/>
      <c r="I9" s="26"/>
      <c r="J9" s="26"/>
      <c r="K9" s="26"/>
      <c r="L9" s="26"/>
      <c r="M9" s="26"/>
      <c r="N9" s="26"/>
      <c r="O9" s="26"/>
      <c r="P9" s="45"/>
      <c r="S9" s="46"/>
      <c r="T9" s="15" t="s">
        <v>8</v>
      </c>
      <c r="U9" s="15" t="s">
        <v>39</v>
      </c>
      <c r="V9" s="15" t="s">
        <v>40</v>
      </c>
    </row>
    <row r="10" spans="1:31" x14ac:dyDescent="0.2">
      <c r="A10" s="5" t="s">
        <v>44</v>
      </c>
      <c r="B10" s="7">
        <v>0</v>
      </c>
      <c r="C10" s="7">
        <v>0</v>
      </c>
      <c r="D10" s="7">
        <v>0</v>
      </c>
      <c r="E10" s="2">
        <v>0</v>
      </c>
      <c r="F10" s="7">
        <v>0</v>
      </c>
      <c r="G10" s="7">
        <v>0</v>
      </c>
      <c r="H10" s="8">
        <v>0</v>
      </c>
      <c r="I10" s="3">
        <v>0</v>
      </c>
      <c r="J10" s="8">
        <v>0</v>
      </c>
      <c r="K10" s="4">
        <v>0</v>
      </c>
      <c r="L10" s="47"/>
      <c r="M10" s="47"/>
      <c r="N10" s="5"/>
      <c r="O10" s="5"/>
      <c r="P10" s="5"/>
      <c r="S10" s="15" t="s">
        <v>41</v>
      </c>
      <c r="T10" s="15" t="s">
        <v>42</v>
      </c>
      <c r="U10" s="15">
        <f>IF(I10="S",-H10,H10)</f>
        <v>0</v>
      </c>
      <c r="V10" s="15">
        <f>IF(K10="W",-J10,J10)</f>
        <v>0</v>
      </c>
    </row>
    <row r="11" spans="1:31" x14ac:dyDescent="0.2">
      <c r="A11" s="48">
        <v>1</v>
      </c>
      <c r="B11" s="196">
        <v>12.5</v>
      </c>
      <c r="C11" s="51">
        <v>0</v>
      </c>
      <c r="D11" s="51">
        <v>0</v>
      </c>
      <c r="E11" s="200">
        <f>B11</f>
        <v>12.5</v>
      </c>
      <c r="F11" s="47">
        <f>IF(B11="","",IF($U$1=1,F10+(T11*E11/2*(COS(RADIANS(C11))+COS(RADIANS(C10)))), IF($U$1=2,IF(C11=C10,F10+E11*(COS(RADIANS(C11))),F10+(E11/(C11-C10))*(DEGREES(SIN(RADIANS(C11))-SIN(RADIANS(C10))))),F10+(E11*(COS(RADIANS((C11+C10)/2)))))))</f>
        <v>12.5</v>
      </c>
      <c r="G11" s="47" t="e">
        <f t="shared" ref="G11:G74" si="0">IF(B11="","",L11*COS(RADIANS(M11-$N$2)))</f>
        <v>#DIV/0!</v>
      </c>
      <c r="H11" s="49">
        <f t="shared" ref="H11:H74" si="1">IF(B11="","",ABS(U11))</f>
        <v>0</v>
      </c>
      <c r="I11" s="50" t="str">
        <f t="shared" ref="I11:I74" si="2">IF(B11="","",IF(U11&lt;0,"S","N"))</f>
        <v>N</v>
      </c>
      <c r="J11" s="49">
        <f t="shared" ref="J11:J74" si="3">IF(B11="","",ABS(V11))</f>
        <v>0</v>
      </c>
      <c r="K11" s="50" t="str">
        <f t="shared" ref="K11:K74" si="4">IF(B11="","",IF(V11&lt;0,"W","E"))</f>
        <v>E</v>
      </c>
      <c r="L11" s="47">
        <f t="shared" ref="L11:L74" si="5">IF(B11="","",(H11^2+J11^2)^0.5)</f>
        <v>0</v>
      </c>
      <c r="M11" s="47" t="e">
        <f t="shared" ref="M11:M74" si="6">IF(B11="","",IF(I11="S", 180+W11,IF(AND(I11="N",K11="E"),W11,360+W11)))</f>
        <v>#DIV/0!</v>
      </c>
      <c r="N11" s="47">
        <f t="shared" ref="N11:N74" si="7">IF(B11="","",S11*100/E11)</f>
        <v>0</v>
      </c>
      <c r="O11" s="47">
        <f t="shared" ref="O11:O74" si="8">IF(B11="","",(C11-C10)*(100/E11))</f>
        <v>0</v>
      </c>
      <c r="P11" s="47">
        <f t="shared" ref="P11:P74" si="9">IF(B11="","",(D11-D10)*(100/E11))</f>
        <v>0</v>
      </c>
      <c r="S11" s="15">
        <f t="shared" ref="S11:S74" si="10">DEGREES(ACOS(COS(RADIANS(C11-C10))+((SIN(RADIANS(C11)))*(SIN(RADIANS(C10))))*((COS(RADIANS(D11-D10)))-1)))</f>
        <v>0</v>
      </c>
      <c r="T11" s="15">
        <f t="shared" ref="T11:T74" si="11">IF($U$1=1,IF(S11&lt;0.25,1,(2/S11)*(DEGREES((TAN(RADIANS(S11/2)))))),IF($U$1=2,IF(C11=C10,E11*(SIN(RADIANS(C11))),(E11/(C11-C10))*(DEGREES(COS(RADIANS(C11))-COS(RADIANS(C10))))),E11*SIN(RADIANS((C11+C10)/2))))</f>
        <v>1</v>
      </c>
      <c r="U11" s="15">
        <f t="shared" ref="U11:U74" si="12">IF($U$1=1,U10+(T11*E11/2*((SIN(RADIANS(C11))*COS(RADIANS(D11)))+(SIN(RADIANS(C10))*COS(RADIANS(D10))))),IF($U$1=2,IF(D11=D10,U10+(-T11*(COS(RADIANS(D11)))),U10+(-T11/(D11-D10))*(DEGREES(SIN(RADIANS(D11))-SIN(RADIANS(D10))))),U10+T11*(COS(RADIANS((D11+D10)/2)))))</f>
        <v>0</v>
      </c>
      <c r="V11" s="15">
        <f t="shared" ref="V11:V74" si="13">IF($U$1=1,V10+(T11*E11/2*((SIN(RADIANS(C11))*SIN(RADIANS(D11)))+(SIN(RADIANS(C10))*SIN(RADIANS(D10))))),IF($U$1=2,IF(D11=D10,V10-T11*(SIN(RADIANS(D11))),V10+(T11/(D11-D10))*(DEGREES(COS(RADIANS(D11))-COS(RADIANS(D10))))),V10+(T11*(SIN(RADIANS((D11+D10)/2))))))</f>
        <v>0</v>
      </c>
      <c r="W11" s="15" t="e">
        <f>DEGREES(ATAN(V11/U11))</f>
        <v>#DIV/0!</v>
      </c>
    </row>
    <row r="12" spans="1:31" x14ac:dyDescent="0.2">
      <c r="A12" s="48">
        <f>IF(B12="","",IF(AND(B12&lt;&gt;"",B13=""),"Proj.",A11+1))</f>
        <v>2</v>
      </c>
      <c r="B12" s="197">
        <v>27.04</v>
      </c>
      <c r="C12" s="193">
        <v>0.02</v>
      </c>
      <c r="D12" s="193">
        <v>285.14999999999998</v>
      </c>
      <c r="E12" s="14">
        <f>IF($B12="","",B12-B11)</f>
        <v>14.54</v>
      </c>
      <c r="F12" s="47">
        <f>IF(B12="","",IF($U$1=1,F11+(T12*E12/2*(COS(RADIANS(C12))+COS(RADIANS(C11)))), IF($U$1=2,IF(C12=C11,F11+E12*(COS(RADIANS(C12))),F11+(E12/(C12-C11))*(DEGREES(SIN(RADIANS(C12))-SIN(RADIANS(C11))))),F11+(E12*(COS(RADIANS((C12+C11)/2)))))))</f>
        <v>27.039999557086276</v>
      </c>
      <c r="G12" s="47">
        <f t="shared" si="0"/>
        <v>6.6322240636255254E-4</v>
      </c>
      <c r="H12" s="49">
        <f t="shared" si="1"/>
        <v>6.6322240636255254E-4</v>
      </c>
      <c r="I12" s="50" t="str">
        <f t="shared" si="2"/>
        <v>N</v>
      </c>
      <c r="J12" s="49">
        <f t="shared" si="3"/>
        <v>2.44951043856384E-3</v>
      </c>
      <c r="K12" s="50" t="str">
        <f t="shared" si="4"/>
        <v>W</v>
      </c>
      <c r="L12" s="47">
        <f t="shared" si="5"/>
        <v>2.5377086808644036E-3</v>
      </c>
      <c r="M12" s="47">
        <f t="shared" si="6"/>
        <v>285.14999999999998</v>
      </c>
      <c r="N12" s="47">
        <f t="shared" si="7"/>
        <v>0.1375515818776569</v>
      </c>
      <c r="O12" s="47">
        <f>IF(B12="","",(C12-C11)*(100/E12))</f>
        <v>0.13755158184319119</v>
      </c>
      <c r="P12" s="47">
        <f>IF(B12="","",(D12-D11)*(100/E12))</f>
        <v>1961.1416781292983</v>
      </c>
      <c r="S12" s="15">
        <f>DEGREES(ACOS(COS(RADIANS(C12-C11))+((SIN(RADIANS(C12)))*(SIN(RADIANS(C11))))*((COS(RADIANS(D12-D11)))-1)))</f>
        <v>2.0000000005011311E-2</v>
      </c>
      <c r="T12" s="15">
        <f>IF($U$1=1,IF(S12&lt;0.25,1,(2/S12)*(DEGREES((TAN(RADIANS(S12/2)))))),IF($U$1=2,IF(C12=C11,E12*(SIN(RADIANS(C12))),(E12/(C12-C11))*(DEGREES(COS(RADIANS(C12))-COS(RADIANS(C11))))),E12*SIN(RADIANS((C12+C11)/2))))</f>
        <v>1</v>
      </c>
      <c r="U12" s="15">
        <f>IF($U$1=1,U11+(T12*E12/2*((SIN(RADIANS(C12))*COS(RADIANS(D12)))+(SIN(RADIANS(C11))*COS(RADIANS(D11))))),IF($U$1=2,IF(D12=D11,U11+(-T12*(COS(RADIANS(D12)))),U11+(-T12/(D12-D11))*(DEGREES(SIN(RADIANS(D12))-SIN(RADIANS(D11))))),U11+T12*(COS(RADIANS((D12+D11)/2)))))</f>
        <v>6.6322240636255254E-4</v>
      </c>
      <c r="V12" s="15">
        <f>IF($U$1=1,V11+(T12*E12/2*((SIN(RADIANS(C12))*SIN(RADIANS(D12)))+(SIN(RADIANS(C11))*SIN(RADIANS(D11))))),IF($U$1=2,IF(D12=D11,V11-T12*(SIN(RADIANS(D12))),V11+(T12/(D12-D11))*(DEGREES(COS(RADIANS(D12))-COS(RADIANS(D11))))),V11+(T12*(SIN(RADIANS((D12+D11)/2))))))</f>
        <v>-2.44951043856384E-3</v>
      </c>
      <c r="W12" s="15">
        <f t="shared" ref="W12:W27" si="14">DEGREES(ATAN(V12/U12))</f>
        <v>-74.850000000000037</v>
      </c>
    </row>
    <row r="13" spans="1:31" x14ac:dyDescent="0.2">
      <c r="A13" s="48">
        <f>IF(B13="","",IF(AND(B13&lt;&gt;"",B14=""),"Proj.",A12+1))</f>
        <v>3</v>
      </c>
      <c r="B13" s="193">
        <v>41.58</v>
      </c>
      <c r="C13" s="193">
        <v>0.04</v>
      </c>
      <c r="D13" s="193">
        <v>285.14</v>
      </c>
      <c r="E13" s="14">
        <f t="shared" ref="E13:E64" si="15">IF($B13="","",B13-B12)</f>
        <v>14.54</v>
      </c>
      <c r="F13" s="47">
        <f>IF(B13="","",IF($U$1=1,F12+(T13*E13/2*(COS(RADIANS(C13))+COS(RADIANS(C12)))), IF($U$1=2,IF(C13=C12,F12+E13*(COS(RADIANS(C13))),F12+(E13/(C13-C12))*(DEGREES(SIN(RADIANS(C13))-SIN(RADIANS(C12))))),F12+(E13*(COS(RADIANS((C13+C12)/2)))))))</f>
        <v>41.579997342517707</v>
      </c>
      <c r="G13" s="47">
        <f t="shared" si="0"/>
        <v>2.6520344840477933E-3</v>
      </c>
      <c r="H13" s="49">
        <f t="shared" si="1"/>
        <v>2.6520344840477977E-3</v>
      </c>
      <c r="I13" s="50" t="str">
        <f t="shared" si="2"/>
        <v>N</v>
      </c>
      <c r="J13" s="49">
        <f t="shared" si="3"/>
        <v>9.7982728894515925E-3</v>
      </c>
      <c r="K13" s="50" t="str">
        <f t="shared" si="4"/>
        <v>W</v>
      </c>
      <c r="L13" s="47">
        <f t="shared" si="5"/>
        <v>1.0150834375593994E-2</v>
      </c>
      <c r="M13" s="47">
        <f t="shared" si="6"/>
        <v>285.14500000015227</v>
      </c>
      <c r="N13" s="47">
        <f t="shared" si="7"/>
        <v>0.13755158601360296</v>
      </c>
      <c r="O13" s="47">
        <f>IF(B13="","",(C13-C12)*(100/E13))</f>
        <v>0.13755158184319119</v>
      </c>
      <c r="P13" s="47">
        <f>IF(B13="","",(D13-D12)*(100/E13))</f>
        <v>-6.8775790921533048E-2</v>
      </c>
      <c r="S13" s="15">
        <f>DEGREES(ACOS(COS(RADIANS(C13-C12))+((SIN(RADIANS(C13)))*(SIN(RADIANS(C12))))*((COS(RADIANS(D13-D12)))-1)))</f>
        <v>2.0000000606377868E-2</v>
      </c>
      <c r="T13" s="15">
        <f>IF($U$1=1,IF(S13&lt;0.25,1,(2/S13)*(DEGREES((TAN(RADIANS(S13/2)))))),IF($U$1=2,IF(C13=C12,E13*(SIN(RADIANS(C13))),(E13/(C13-C12))*(DEGREES(COS(RADIANS(C13))-COS(RADIANS(C12))))),E13*SIN(RADIANS((C13+C12)/2))))</f>
        <v>1</v>
      </c>
      <c r="U13" s="15">
        <f>IF($U$1=1,U12+(T13*E13/2*((SIN(RADIANS(C13))*COS(RADIANS(D13)))+(SIN(RADIANS(C12))*COS(RADIANS(D12))))),IF($U$1=2,IF(D13=D12,U12+(-T13*(COS(RADIANS(D13)))),U12+(-T13/(D13-D12))*(DEGREES(SIN(RADIANS(D13))-SIN(RADIANS(D12))))),U12+T13*(COS(RADIANS((D13+D12)/2)))))</f>
        <v>2.6520344840477977E-3</v>
      </c>
      <c r="V13" s="15">
        <f>IF($U$1=1,V12+(T13*E13/2*((SIN(RADIANS(C13))*SIN(RADIANS(D13)))+(SIN(RADIANS(C12))*SIN(RADIANS(D12))))),IF($U$1=2,IF(D13=D12,V12-T13*(SIN(RADIANS(D13))),V12+(T13/(D13-D12))*(DEGREES(COS(RADIANS(D13))-COS(RADIANS(D12))))),V12+(T13*(SIN(RADIANS((D13+D12)/2))))))</f>
        <v>-9.7982728894515925E-3</v>
      </c>
      <c r="W13" s="15">
        <f t="shared" si="14"/>
        <v>-74.854999999847735</v>
      </c>
    </row>
    <row r="14" spans="1:31" x14ac:dyDescent="0.2">
      <c r="A14" s="48">
        <f t="shared" ref="A14:A76" si="16">IF(B14="","",IF(AND(B14&lt;&gt;"",B15=""),"Proj.",A13+1))</f>
        <v>4</v>
      </c>
      <c r="B14" s="193">
        <v>56.12</v>
      </c>
      <c r="C14" s="193">
        <v>0.05</v>
      </c>
      <c r="D14" s="193">
        <v>285.14</v>
      </c>
      <c r="E14" s="14">
        <f t="shared" si="15"/>
        <v>14.54</v>
      </c>
      <c r="F14" s="47">
        <f>IF(B14="","",IF($U$1=1,F13+(T14*E14/2*(COS(RADIANS(C14))+COS(RADIANS(C13)))), IF($U$1=2,IF(C14=C13,F13+E14*(COS(RADIANS(C14))),F13+(E14/(C14-C13))*(DEGREES(SIN(RADIANS(C14))-SIN(RADIANS(C13))))),F13+(E14*(COS(RADIANS((C14+C13)/2)))))))</f>
        <v>56.119992802652234</v>
      </c>
      <c r="G14" s="47">
        <f t="shared" si="0"/>
        <v>5.6346111688117878E-3</v>
      </c>
      <c r="H14" s="49">
        <f t="shared" si="1"/>
        <v>5.6346111688117852E-3</v>
      </c>
      <c r="I14" s="50" t="str">
        <f t="shared" si="2"/>
        <v>N</v>
      </c>
      <c r="J14" s="49">
        <f t="shared" si="3"/>
        <v>2.0821589637355861E-2</v>
      </c>
      <c r="K14" s="50" t="str">
        <f t="shared" si="4"/>
        <v>W</v>
      </c>
      <c r="L14" s="47">
        <f t="shared" si="5"/>
        <v>2.1570522433407669E-2</v>
      </c>
      <c r="M14" s="47">
        <f t="shared" si="6"/>
        <v>285.14235294131282</v>
      </c>
      <c r="N14" s="47">
        <f t="shared" si="7"/>
        <v>6.8775790802243969E-2</v>
      </c>
      <c r="O14" s="47">
        <f>IF(B14="","",(C14-C13)*(100/E14))</f>
        <v>6.8775790921595609E-2</v>
      </c>
      <c r="P14" s="47">
        <f>IF(B14="","",(D14-D13)*(100/E14))</f>
        <v>0</v>
      </c>
      <c r="S14" s="15">
        <f>DEGREES(ACOS(COS(RADIANS(C14-C13))+((SIN(RADIANS(C14)))*(SIN(RADIANS(C13))))*((COS(RADIANS(D14-D13)))-1)))</f>
        <v>9.9999999826462724E-3</v>
      </c>
      <c r="T14" s="15">
        <f>IF($U$1=1,IF(S14&lt;0.25,1,(2/S14)*(DEGREES((TAN(RADIANS(S14/2)))))),IF($U$1=2,IF(C14=C13,E14*(SIN(RADIANS(C14))),(E14/(C14-C13))*(DEGREES(COS(RADIANS(C14))-COS(RADIANS(C13))))),E14*SIN(RADIANS((C14+C13)/2))))</f>
        <v>1</v>
      </c>
      <c r="U14" s="15">
        <f>IF($U$1=1,U13+(T14*E14/2*((SIN(RADIANS(C14))*COS(RADIANS(D14)))+(SIN(RADIANS(C13))*COS(RADIANS(D13))))),IF($U$1=2,IF(D14=D13,U13+(-T14*(COS(RADIANS(D14)))),U13+(-T14/(D14-D13))*(DEGREES(SIN(RADIANS(D14))-SIN(RADIANS(D13))))),U13+T14*(COS(RADIANS((D14+D13)/2)))))</f>
        <v>5.6346111688117852E-3</v>
      </c>
      <c r="V14" s="15">
        <f>IF($U$1=1,V13+(T14*E14/2*((SIN(RADIANS(C14))*SIN(RADIANS(D14)))+(SIN(RADIANS(C13))*SIN(RADIANS(D13))))),IF($U$1=2,IF(D14=D13,V13-T14*(SIN(RADIANS(D14))),V13+(T14/(D14-D13))*(DEGREES(COS(RADIANS(D14))-COS(RADIANS(D13))))),V13+(T14*(SIN(RADIANS((D14+D13)/2))))))</f>
        <v>-2.0821589637355861E-2</v>
      </c>
      <c r="W14" s="15">
        <f t="shared" si="14"/>
        <v>-74.857647058687178</v>
      </c>
    </row>
    <row r="15" spans="1:31" x14ac:dyDescent="0.2">
      <c r="A15" s="48">
        <f t="shared" si="16"/>
        <v>5</v>
      </c>
      <c r="B15" s="193">
        <v>70.67</v>
      </c>
      <c r="C15" s="193">
        <v>7.0000000000000007E-2</v>
      </c>
      <c r="D15" s="193">
        <v>285.14</v>
      </c>
      <c r="E15" s="14">
        <f t="shared" ref="E15" si="17">IF($B15="","",B15-B14)</f>
        <v>14.550000000000004</v>
      </c>
      <c r="F15" s="47">
        <f t="shared" ref="F15:F75" si="18">IF(B15="","",IF($U$1=1,F14+(T15*E15/2*(COS(RADIANS(C15))+COS(RADIANS(C14)))), IF($U$1=2,IF(C15=C14,F14+E15*(COS(RADIANS(C15))),F14+(E15/(C15-C14))*(DEGREES(SIN(RADIANS(C15))-SIN(RADIANS(C14))))),F14+(E15*(COS(RADIANS((C15+C14)/2)))))))</f>
        <v>70.66998460311369</v>
      </c>
      <c r="G15" s="47">
        <f t="shared" si="0"/>
        <v>9.6141147724355946E-3</v>
      </c>
      <c r="H15" s="49">
        <f t="shared" si="1"/>
        <v>9.6141147724356189E-3</v>
      </c>
      <c r="I15" s="50" t="str">
        <f t="shared" si="2"/>
        <v>N</v>
      </c>
      <c r="J15" s="49">
        <f t="shared" si="3"/>
        <v>3.5529452454852277E-2</v>
      </c>
      <c r="K15" s="50" t="str">
        <f t="shared" si="4"/>
        <v>W</v>
      </c>
      <c r="L15" s="47">
        <f t="shared" si="5"/>
        <v>3.680724377889729E-2</v>
      </c>
      <c r="M15" s="47">
        <f t="shared" si="6"/>
        <v>285.14137891806479</v>
      </c>
      <c r="N15" s="47">
        <f t="shared" si="7"/>
        <v>0.13745704470798148</v>
      </c>
      <c r="O15" s="47">
        <f t="shared" si="8"/>
        <v>0.1374570446735395</v>
      </c>
      <c r="P15" s="47">
        <f t="shared" si="9"/>
        <v>0</v>
      </c>
      <c r="S15" s="15">
        <f t="shared" si="10"/>
        <v>2.0000000005011311E-2</v>
      </c>
      <c r="T15" s="15">
        <f t="shared" si="11"/>
        <v>1</v>
      </c>
      <c r="U15" s="15">
        <f t="shared" si="12"/>
        <v>9.6141147724356189E-3</v>
      </c>
      <c r="V15" s="15">
        <f t="shared" si="13"/>
        <v>-3.5529452454852277E-2</v>
      </c>
      <c r="W15" s="15">
        <f t="shared" si="14"/>
        <v>-74.858621081935183</v>
      </c>
    </row>
    <row r="16" spans="1:31" x14ac:dyDescent="0.2">
      <c r="A16" s="48">
        <f t="shared" si="16"/>
        <v>6</v>
      </c>
      <c r="B16" s="193">
        <v>85.21</v>
      </c>
      <c r="C16" s="193">
        <v>0.09</v>
      </c>
      <c r="D16" s="193">
        <v>285.13</v>
      </c>
      <c r="E16" s="14">
        <f t="shared" ref="E16" si="19">IF($B16="","",B16-B15)</f>
        <v>14.539999999999992</v>
      </c>
      <c r="F16" s="47">
        <f t="shared" si="18"/>
        <v>85.209970208420032</v>
      </c>
      <c r="G16" s="47">
        <f t="shared" si="0"/>
        <v>1.4914548108265435E-2</v>
      </c>
      <c r="H16" s="49">
        <f t="shared" si="1"/>
        <v>1.4914548108265464E-2</v>
      </c>
      <c r="I16" s="50" t="str">
        <f t="shared" si="2"/>
        <v>N</v>
      </c>
      <c r="J16" s="49">
        <f t="shared" si="3"/>
        <v>5.5126975819774202E-2</v>
      </c>
      <c r="K16" s="50" t="str">
        <f t="shared" si="4"/>
        <v>W</v>
      </c>
      <c r="L16" s="47">
        <f t="shared" si="5"/>
        <v>5.710890655850219E-2</v>
      </c>
      <c r="M16" s="47">
        <f t="shared" si="6"/>
        <v>285.13888909321003</v>
      </c>
      <c r="N16" s="47">
        <f t="shared" si="7"/>
        <v>0.13755161483992817</v>
      </c>
      <c r="O16" s="47">
        <f t="shared" si="8"/>
        <v>0.13755158184319119</v>
      </c>
      <c r="P16" s="47">
        <f t="shared" si="9"/>
        <v>-6.8775790921533089E-2</v>
      </c>
      <c r="S16" s="15">
        <f t="shared" si="10"/>
        <v>2.0000004797725547E-2</v>
      </c>
      <c r="T16" s="15">
        <f t="shared" si="11"/>
        <v>1</v>
      </c>
      <c r="U16" s="15">
        <f t="shared" si="12"/>
        <v>1.4914548108265464E-2</v>
      </c>
      <c r="V16" s="15">
        <f t="shared" si="13"/>
        <v>-5.5126975819774202E-2</v>
      </c>
      <c r="W16" s="15">
        <f t="shared" si="14"/>
        <v>-74.86111090678996</v>
      </c>
    </row>
    <row r="17" spans="1:23" x14ac:dyDescent="0.2">
      <c r="A17" s="48">
        <f t="shared" si="16"/>
        <v>7</v>
      </c>
      <c r="B17" s="193">
        <v>99.75</v>
      </c>
      <c r="C17" s="193">
        <v>0.1</v>
      </c>
      <c r="D17" s="193">
        <v>285.13</v>
      </c>
      <c r="E17" s="14">
        <f t="shared" si="15"/>
        <v>14.540000000000006</v>
      </c>
      <c r="F17" s="47">
        <f t="shared" si="18"/>
        <v>99.749950166578486</v>
      </c>
      <c r="G17" s="47">
        <f t="shared" si="0"/>
        <v>2.1207034921436087E-2</v>
      </c>
      <c r="H17" s="49">
        <f t="shared" si="1"/>
        <v>2.1207034921436111E-2</v>
      </c>
      <c r="I17" s="50" t="str">
        <f t="shared" si="2"/>
        <v>N</v>
      </c>
      <c r="J17" s="49">
        <f t="shared" si="3"/>
        <v>7.8399512617789047E-2</v>
      </c>
      <c r="K17" s="50" t="str">
        <f t="shared" si="4"/>
        <v>W</v>
      </c>
      <c r="L17" s="47">
        <f t="shared" si="5"/>
        <v>8.1217128174208883E-2</v>
      </c>
      <c r="M17" s="47">
        <f t="shared" si="6"/>
        <v>285.13625048439786</v>
      </c>
      <c r="N17" s="47">
        <f t="shared" si="7"/>
        <v>6.8775790802243941E-2</v>
      </c>
      <c r="O17" s="47">
        <f t="shared" si="8"/>
        <v>6.8775790921595636E-2</v>
      </c>
      <c r="P17" s="47">
        <f t="shared" si="9"/>
        <v>0</v>
      </c>
      <c r="S17" s="15">
        <f t="shared" si="10"/>
        <v>9.9999999826462724E-3</v>
      </c>
      <c r="T17" s="15">
        <f t="shared" si="11"/>
        <v>1</v>
      </c>
      <c r="U17" s="15">
        <f t="shared" si="12"/>
        <v>2.1207034921436111E-2</v>
      </c>
      <c r="V17" s="15">
        <f t="shared" si="13"/>
        <v>-7.8399512617789047E-2</v>
      </c>
      <c r="W17" s="15">
        <f t="shared" si="14"/>
        <v>-74.863749515602123</v>
      </c>
    </row>
    <row r="18" spans="1:23" x14ac:dyDescent="0.2">
      <c r="A18" s="48">
        <f t="shared" si="16"/>
        <v>8</v>
      </c>
      <c r="B18" s="193">
        <v>114.29</v>
      </c>
      <c r="C18" s="193">
        <v>0.12</v>
      </c>
      <c r="D18" s="193">
        <v>285.13</v>
      </c>
      <c r="E18" s="14">
        <f t="shared" si="15"/>
        <v>14.540000000000006</v>
      </c>
      <c r="F18" s="47">
        <f t="shared" si="18"/>
        <v>114.28992314884971</v>
      </c>
      <c r="G18" s="47">
        <f t="shared" si="0"/>
        <v>2.8493071063354969E-2</v>
      </c>
      <c r="H18" s="49">
        <f t="shared" si="1"/>
        <v>2.8493071063354965E-2</v>
      </c>
      <c r="I18" s="50" t="str">
        <f t="shared" si="2"/>
        <v>N</v>
      </c>
      <c r="J18" s="49">
        <f t="shared" si="3"/>
        <v>0.10534665597446027</v>
      </c>
      <c r="K18" s="50" t="str">
        <f t="shared" si="4"/>
        <v>W</v>
      </c>
      <c r="L18" s="47">
        <f t="shared" si="5"/>
        <v>0.10913190653343632</v>
      </c>
      <c r="M18" s="47">
        <f t="shared" si="6"/>
        <v>285.13465167711416</v>
      </c>
      <c r="N18" s="47">
        <f t="shared" si="7"/>
        <v>0.13755158187765681</v>
      </c>
      <c r="O18" s="47">
        <f t="shared" si="8"/>
        <v>0.13755158184319108</v>
      </c>
      <c r="P18" s="47">
        <f t="shared" si="9"/>
        <v>0</v>
      </c>
      <c r="S18" s="15">
        <f t="shared" si="10"/>
        <v>2.0000000005011311E-2</v>
      </c>
      <c r="T18" s="15">
        <f t="shared" si="11"/>
        <v>1</v>
      </c>
      <c r="U18" s="15">
        <f t="shared" si="12"/>
        <v>2.8493071063354965E-2</v>
      </c>
      <c r="V18" s="15">
        <f t="shared" si="13"/>
        <v>-0.10534665597446027</v>
      </c>
      <c r="W18" s="15">
        <f t="shared" si="14"/>
        <v>-74.865348322885851</v>
      </c>
    </row>
    <row r="19" spans="1:23" x14ac:dyDescent="0.2">
      <c r="A19" s="48">
        <f t="shared" si="16"/>
        <v>9</v>
      </c>
      <c r="B19" s="193">
        <v>128.83000000000001</v>
      </c>
      <c r="C19" s="193">
        <v>0.14000000000000001</v>
      </c>
      <c r="D19" s="193">
        <v>285.12</v>
      </c>
      <c r="E19" s="14">
        <f t="shared" si="15"/>
        <v>14.540000000000006</v>
      </c>
      <c r="F19" s="47">
        <f t="shared" si="18"/>
        <v>128.82988550119944</v>
      </c>
      <c r="G19" s="47">
        <f t="shared" si="0"/>
        <v>3.7100845958966448E-2</v>
      </c>
      <c r="H19" s="49">
        <f t="shared" si="1"/>
        <v>3.7100845958966497E-2</v>
      </c>
      <c r="I19" s="50" t="str">
        <f t="shared" si="2"/>
        <v>N</v>
      </c>
      <c r="J19" s="49">
        <f t="shared" si="3"/>
        <v>0.13719408115297846</v>
      </c>
      <c r="K19" s="50" t="str">
        <f t="shared" si="4"/>
        <v>W</v>
      </c>
      <c r="L19" s="47">
        <f t="shared" si="5"/>
        <v>0.142122090732866</v>
      </c>
      <c r="M19" s="47">
        <f t="shared" si="6"/>
        <v>285.13232199622365</v>
      </c>
      <c r="N19" s="47">
        <f t="shared" si="7"/>
        <v>0.13755166986054912</v>
      </c>
      <c r="O19" s="47">
        <f t="shared" si="8"/>
        <v>0.13755158184319127</v>
      </c>
      <c r="P19" s="47">
        <f t="shared" si="9"/>
        <v>-6.877579092153302E-2</v>
      </c>
      <c r="S19" s="15">
        <f t="shared" si="10"/>
        <v>2.000001279772385E-2</v>
      </c>
      <c r="T19" s="15">
        <f t="shared" si="11"/>
        <v>1</v>
      </c>
      <c r="U19" s="15">
        <f t="shared" si="12"/>
        <v>3.7100845958966497E-2</v>
      </c>
      <c r="V19" s="15">
        <f t="shared" si="13"/>
        <v>-0.13719408115297846</v>
      </c>
      <c r="W19" s="15">
        <f t="shared" si="14"/>
        <v>-74.867678003776362</v>
      </c>
    </row>
    <row r="20" spans="1:23" x14ac:dyDescent="0.2">
      <c r="A20" s="48">
        <f t="shared" si="16"/>
        <v>10</v>
      </c>
      <c r="B20" s="193">
        <v>143.38</v>
      </c>
      <c r="C20" s="193">
        <v>0.16</v>
      </c>
      <c r="D20" s="193">
        <v>285.12</v>
      </c>
      <c r="E20" s="14">
        <f t="shared" si="15"/>
        <v>14.549999999999983</v>
      </c>
      <c r="F20" s="47">
        <f t="shared" si="18"/>
        <v>143.3798354175556</v>
      </c>
      <c r="G20" s="47">
        <f t="shared" si="0"/>
        <v>4.7036759796606577E-2</v>
      </c>
      <c r="H20" s="49">
        <f t="shared" si="1"/>
        <v>4.7036759796606577E-2</v>
      </c>
      <c r="I20" s="50" t="str">
        <f t="shared" si="2"/>
        <v>N</v>
      </c>
      <c r="J20" s="49">
        <f t="shared" si="3"/>
        <v>0.17396717344307883</v>
      </c>
      <c r="K20" s="50" t="str">
        <f t="shared" si="4"/>
        <v>W</v>
      </c>
      <c r="L20" s="47">
        <f t="shared" si="5"/>
        <v>0.18021385686993643</v>
      </c>
      <c r="M20" s="47">
        <f t="shared" si="6"/>
        <v>285.12971749836902</v>
      </c>
      <c r="N20" s="47">
        <f t="shared" si="7"/>
        <v>0.13745704470798167</v>
      </c>
      <c r="O20" s="47">
        <f t="shared" si="8"/>
        <v>0.13745704467353961</v>
      </c>
      <c r="P20" s="47">
        <f t="shared" si="9"/>
        <v>0</v>
      </c>
      <c r="S20" s="15">
        <f t="shared" si="10"/>
        <v>2.0000000005011311E-2</v>
      </c>
      <c r="T20" s="15">
        <f t="shared" si="11"/>
        <v>1</v>
      </c>
      <c r="U20" s="15">
        <f t="shared" si="12"/>
        <v>4.7036759796606577E-2</v>
      </c>
      <c r="V20" s="15">
        <f t="shared" si="13"/>
        <v>-0.17396717344307883</v>
      </c>
      <c r="W20" s="15">
        <f t="shared" si="14"/>
        <v>-74.87028250163101</v>
      </c>
    </row>
    <row r="21" spans="1:23" x14ac:dyDescent="0.2">
      <c r="A21" s="48">
        <f t="shared" si="16"/>
        <v>11</v>
      </c>
      <c r="B21" s="193">
        <v>157.91999999999999</v>
      </c>
      <c r="C21" s="193">
        <v>0.17</v>
      </c>
      <c r="D21" s="193">
        <v>285.12</v>
      </c>
      <c r="E21" s="14">
        <f t="shared" si="15"/>
        <v>14.539999999999992</v>
      </c>
      <c r="F21" s="47">
        <f t="shared" si="18"/>
        <v>157.91977507060199</v>
      </c>
      <c r="G21" s="47">
        <f t="shared" si="0"/>
        <v>5.7958750835300214E-2</v>
      </c>
      <c r="H21" s="49">
        <f t="shared" si="1"/>
        <v>5.7958750835300124E-2</v>
      </c>
      <c r="I21" s="50" t="str">
        <f t="shared" si="2"/>
        <v>N</v>
      </c>
      <c r="J21" s="49">
        <f t="shared" si="3"/>
        <v>0.21438976476387081</v>
      </c>
      <c r="K21" s="50" t="str">
        <f t="shared" si="4"/>
        <v>W</v>
      </c>
      <c r="L21" s="47">
        <f t="shared" si="5"/>
        <v>0.22208599243062643</v>
      </c>
      <c r="M21" s="47">
        <f t="shared" si="6"/>
        <v>285.12788535935192</v>
      </c>
      <c r="N21" s="47">
        <f t="shared" si="7"/>
        <v>6.8775790802243997E-2</v>
      </c>
      <c r="O21" s="47">
        <f t="shared" si="8"/>
        <v>6.8775790921595692E-2</v>
      </c>
      <c r="P21" s="47">
        <f t="shared" si="9"/>
        <v>0</v>
      </c>
      <c r="S21" s="15">
        <f t="shared" si="10"/>
        <v>9.9999999826462724E-3</v>
      </c>
      <c r="T21" s="15">
        <f t="shared" si="11"/>
        <v>1</v>
      </c>
      <c r="U21" s="15">
        <f t="shared" si="12"/>
        <v>5.7958750835300124E-2</v>
      </c>
      <c r="V21" s="15">
        <f t="shared" si="13"/>
        <v>-0.21438976476387081</v>
      </c>
      <c r="W21" s="15">
        <f t="shared" si="14"/>
        <v>-74.872114640648107</v>
      </c>
    </row>
    <row r="22" spans="1:23" x14ac:dyDescent="0.2">
      <c r="A22" s="48">
        <f t="shared" si="16"/>
        <v>12</v>
      </c>
      <c r="B22" s="193">
        <v>172.46</v>
      </c>
      <c r="C22" s="193">
        <v>0.19</v>
      </c>
      <c r="D22" s="193">
        <v>285.11</v>
      </c>
      <c r="E22" s="14">
        <f t="shared" si="15"/>
        <v>14.54000000000002</v>
      </c>
      <c r="F22" s="47">
        <f t="shared" si="18"/>
        <v>172.45970309718126</v>
      </c>
      <c r="G22" s="47">
        <f t="shared" si="0"/>
        <v>6.9869584777968147E-2</v>
      </c>
      <c r="H22" s="49">
        <f t="shared" si="1"/>
        <v>6.9869584777968091E-2</v>
      </c>
      <c r="I22" s="50" t="str">
        <f t="shared" si="2"/>
        <v>N</v>
      </c>
      <c r="J22" s="49">
        <f t="shared" si="3"/>
        <v>0.25848822220547968</v>
      </c>
      <c r="K22" s="50" t="str">
        <f t="shared" si="4"/>
        <v>W</v>
      </c>
      <c r="L22" s="47">
        <f t="shared" si="5"/>
        <v>0.26776467260636738</v>
      </c>
      <c r="M22" s="47">
        <f t="shared" si="6"/>
        <v>285.12563982527286</v>
      </c>
      <c r="N22" s="47">
        <f t="shared" si="7"/>
        <v>0.13755175107537843</v>
      </c>
      <c r="O22" s="47">
        <f t="shared" si="8"/>
        <v>0.13755158184319094</v>
      </c>
      <c r="P22" s="47">
        <f t="shared" si="9"/>
        <v>-6.877579092153295E-2</v>
      </c>
      <c r="S22" s="15">
        <f t="shared" si="10"/>
        <v>2.0000024606360051E-2</v>
      </c>
      <c r="T22" s="15">
        <f t="shared" si="11"/>
        <v>1</v>
      </c>
      <c r="U22" s="15">
        <f t="shared" si="12"/>
        <v>6.9869584777968091E-2</v>
      </c>
      <c r="V22" s="15">
        <f t="shared" si="13"/>
        <v>-0.25848822220547968</v>
      </c>
      <c r="W22" s="15">
        <f t="shared" si="14"/>
        <v>-74.874360174727144</v>
      </c>
    </row>
    <row r="23" spans="1:23" x14ac:dyDescent="0.2">
      <c r="A23" s="48">
        <f t="shared" si="16"/>
        <v>13</v>
      </c>
      <c r="B23" s="193">
        <v>187</v>
      </c>
      <c r="C23" s="193">
        <v>0.21</v>
      </c>
      <c r="D23" s="193">
        <v>285.11</v>
      </c>
      <c r="E23" s="14">
        <f t="shared" si="15"/>
        <v>14.539999999999992</v>
      </c>
      <c r="F23" s="47">
        <f t="shared" si="18"/>
        <v>186.99961429307001</v>
      </c>
      <c r="G23" s="47">
        <f t="shared" si="0"/>
        <v>8.309980125719521E-2</v>
      </c>
      <c r="H23" s="49">
        <f t="shared" si="1"/>
        <v>8.3099801257195183E-2</v>
      </c>
      <c r="I23" s="50" t="str">
        <f t="shared" si="2"/>
        <v>N</v>
      </c>
      <c r="J23" s="49">
        <f t="shared" si="3"/>
        <v>0.30748758011069266</v>
      </c>
      <c r="K23" s="50" t="str">
        <f t="shared" si="4"/>
        <v>W</v>
      </c>
      <c r="L23" s="47">
        <f t="shared" si="5"/>
        <v>0.31851874182112888</v>
      </c>
      <c r="M23" s="47">
        <f t="shared" si="6"/>
        <v>285.12314771198271</v>
      </c>
      <c r="N23" s="47">
        <f t="shared" si="7"/>
        <v>0.13755158187765695</v>
      </c>
      <c r="O23" s="47">
        <f t="shared" si="8"/>
        <v>0.13755158184319119</v>
      </c>
      <c r="P23" s="47">
        <f t="shared" si="9"/>
        <v>0</v>
      </c>
      <c r="S23" s="15">
        <f t="shared" si="10"/>
        <v>2.0000000005011311E-2</v>
      </c>
      <c r="T23" s="15">
        <f t="shared" si="11"/>
        <v>1</v>
      </c>
      <c r="U23" s="15">
        <f t="shared" si="12"/>
        <v>8.3099801257195183E-2</v>
      </c>
      <c r="V23" s="15">
        <f t="shared" si="13"/>
        <v>-0.30748758011069266</v>
      </c>
      <c r="W23" s="15">
        <f t="shared" si="14"/>
        <v>-74.876852288017318</v>
      </c>
    </row>
    <row r="24" spans="1:23" x14ac:dyDescent="0.2">
      <c r="A24" s="48">
        <f t="shared" si="16"/>
        <v>14</v>
      </c>
      <c r="B24" s="193">
        <v>201.8</v>
      </c>
      <c r="C24" s="193">
        <v>0.23</v>
      </c>
      <c r="D24" s="193">
        <v>297.17</v>
      </c>
      <c r="E24" s="14">
        <f t="shared" si="15"/>
        <v>14.800000000000011</v>
      </c>
      <c r="F24" s="47">
        <f t="shared" si="18"/>
        <v>201.79950496601376</v>
      </c>
      <c r="G24" s="47">
        <f t="shared" si="0"/>
        <v>0.10373431961018534</v>
      </c>
      <c r="H24" s="49">
        <f t="shared" si="1"/>
        <v>0.10373431961018548</v>
      </c>
      <c r="I24" s="50" t="str">
        <f t="shared" si="2"/>
        <v>N</v>
      </c>
      <c r="J24" s="49">
        <f t="shared" si="3"/>
        <v>0.36009983532178091</v>
      </c>
      <c r="K24" s="50" t="str">
        <f t="shared" si="4"/>
        <v>W</v>
      </c>
      <c r="L24" s="47">
        <f t="shared" si="5"/>
        <v>0.37474351290417535</v>
      </c>
      <c r="M24" s="47">
        <f t="shared" si="6"/>
        <v>286.07015688404556</v>
      </c>
      <c r="N24" s="47">
        <f t="shared" si="7"/>
        <v>0.33999416110928049</v>
      </c>
      <c r="O24" s="47">
        <f t="shared" si="8"/>
        <v>0.13513513513513514</v>
      </c>
      <c r="P24" s="47">
        <f t="shared" si="9"/>
        <v>81.486486486486442</v>
      </c>
      <c r="S24" s="15">
        <f t="shared" si="10"/>
        <v>5.0319135844173551E-2</v>
      </c>
      <c r="T24" s="15">
        <f t="shared" si="11"/>
        <v>1</v>
      </c>
      <c r="U24" s="15">
        <f t="shared" si="12"/>
        <v>0.10373431961018548</v>
      </c>
      <c r="V24" s="15">
        <f t="shared" si="13"/>
        <v>-0.36009983532178091</v>
      </c>
      <c r="W24" s="15">
        <f t="shared" si="14"/>
        <v>-73.929843115954412</v>
      </c>
    </row>
    <row r="25" spans="1:23" x14ac:dyDescent="0.2">
      <c r="A25" s="48">
        <f t="shared" si="16"/>
        <v>15</v>
      </c>
      <c r="B25" s="193">
        <v>216.6</v>
      </c>
      <c r="C25" s="193">
        <v>0.25</v>
      </c>
      <c r="D25" s="193">
        <v>307.19</v>
      </c>
      <c r="E25" s="14">
        <f t="shared" si="15"/>
        <v>14.799999999999983</v>
      </c>
      <c r="F25" s="47">
        <f t="shared" si="18"/>
        <v>216.59937490065965</v>
      </c>
      <c r="G25" s="47">
        <f t="shared" si="0"/>
        <v>0.13681587441341128</v>
      </c>
      <c r="H25" s="49">
        <f t="shared" si="1"/>
        <v>0.1368158744134112</v>
      </c>
      <c r="I25" s="50" t="str">
        <f t="shared" si="2"/>
        <v>N</v>
      </c>
      <c r="J25" s="49">
        <f t="shared" si="3"/>
        <v>0.41224958586641336</v>
      </c>
      <c r="K25" s="50" t="str">
        <f t="shared" si="4"/>
        <v>W</v>
      </c>
      <c r="L25" s="47">
        <f t="shared" si="5"/>
        <v>0.4343596488378445</v>
      </c>
      <c r="M25" s="47">
        <f t="shared" si="6"/>
        <v>288.35978323428907</v>
      </c>
      <c r="N25" s="47">
        <f t="shared" si="7"/>
        <v>0.31359474609186067</v>
      </c>
      <c r="O25" s="47">
        <f t="shared" si="8"/>
        <v>0.13513513513513523</v>
      </c>
      <c r="P25" s="47">
        <f t="shared" si="9"/>
        <v>67.702702702702652</v>
      </c>
      <c r="S25" s="15">
        <f t="shared" si="10"/>
        <v>4.6412022421595318E-2</v>
      </c>
      <c r="T25" s="15">
        <f t="shared" si="11"/>
        <v>1</v>
      </c>
      <c r="U25" s="15">
        <f t="shared" si="12"/>
        <v>0.1368158744134112</v>
      </c>
      <c r="V25" s="15">
        <f t="shared" si="13"/>
        <v>-0.41224958586641336</v>
      </c>
      <c r="W25" s="15">
        <f t="shared" si="14"/>
        <v>-71.640216765710946</v>
      </c>
    </row>
    <row r="26" spans="1:23" x14ac:dyDescent="0.2">
      <c r="A26" s="48">
        <f t="shared" si="16"/>
        <v>16</v>
      </c>
      <c r="B26" s="193">
        <v>231.4</v>
      </c>
      <c r="C26" s="193">
        <v>0.28000000000000003</v>
      </c>
      <c r="D26" s="193">
        <v>315.17</v>
      </c>
      <c r="E26" s="14">
        <f t="shared" si="15"/>
        <v>14.800000000000011</v>
      </c>
      <c r="F26" s="47">
        <f t="shared" si="18"/>
        <v>231.39921609474783</v>
      </c>
      <c r="G26" s="47">
        <f t="shared" si="0"/>
        <v>0.18197989331998662</v>
      </c>
      <c r="H26" s="49">
        <f t="shared" si="1"/>
        <v>0.18197989331998671</v>
      </c>
      <c r="I26" s="50" t="str">
        <f t="shared" si="2"/>
        <v>N</v>
      </c>
      <c r="J26" s="49">
        <f t="shared" si="3"/>
        <v>0.46346691409533192</v>
      </c>
      <c r="K26" s="50" t="str">
        <f t="shared" si="4"/>
        <v>W</v>
      </c>
      <c r="L26" s="47">
        <f t="shared" si="5"/>
        <v>0.49791391026341442</v>
      </c>
      <c r="M26" s="47">
        <f t="shared" si="6"/>
        <v>291.43741219048877</v>
      </c>
      <c r="N26" s="47">
        <f t="shared" si="7"/>
        <v>0.32090454589178397</v>
      </c>
      <c r="O26" s="47">
        <f t="shared" si="8"/>
        <v>0.20270270270270274</v>
      </c>
      <c r="P26" s="47">
        <f t="shared" si="9"/>
        <v>53.918918918919005</v>
      </c>
      <c r="S26" s="15">
        <f t="shared" si="10"/>
        <v>4.7493872791984061E-2</v>
      </c>
      <c r="T26" s="15">
        <f t="shared" si="11"/>
        <v>1</v>
      </c>
      <c r="U26" s="15">
        <f t="shared" si="12"/>
        <v>0.18197989331998671</v>
      </c>
      <c r="V26" s="15">
        <f t="shared" si="13"/>
        <v>-0.46346691409533192</v>
      </c>
      <c r="W26" s="15">
        <f t="shared" si="14"/>
        <v>-68.5625878095112</v>
      </c>
    </row>
    <row r="27" spans="1:23" x14ac:dyDescent="0.2">
      <c r="A27" s="48">
        <f t="shared" si="16"/>
        <v>17</v>
      </c>
      <c r="B27" s="193">
        <v>246.2</v>
      </c>
      <c r="C27" s="193">
        <v>0.32</v>
      </c>
      <c r="D27" s="193">
        <v>321.45999999999998</v>
      </c>
      <c r="E27" s="14">
        <f t="shared" si="15"/>
        <v>14.799999999999983</v>
      </c>
      <c r="F27" s="47">
        <f t="shared" si="18"/>
        <v>246.19901231835453</v>
      </c>
      <c r="G27" s="47">
        <f t="shared" si="0"/>
        <v>0.23995339498359528</v>
      </c>
      <c r="H27" s="49">
        <f t="shared" si="1"/>
        <v>0.23995339498359519</v>
      </c>
      <c r="I27" s="50" t="str">
        <f t="shared" si="2"/>
        <v>N</v>
      </c>
      <c r="J27" s="49">
        <f t="shared" si="3"/>
        <v>0.51471268338571641</v>
      </c>
      <c r="K27" s="50" t="str">
        <f t="shared" si="4"/>
        <v>W</v>
      </c>
      <c r="L27" s="47">
        <f t="shared" si="5"/>
        <v>0.56789680242300888</v>
      </c>
      <c r="M27" s="47">
        <f t="shared" si="6"/>
        <v>294.99441575895446</v>
      </c>
      <c r="N27" s="47">
        <f t="shared" si="7"/>
        <v>0.34970753896410867</v>
      </c>
      <c r="O27" s="47">
        <f t="shared" si="8"/>
        <v>0.27027027027027045</v>
      </c>
      <c r="P27" s="47">
        <f t="shared" si="9"/>
        <v>42.499999999999801</v>
      </c>
      <c r="S27" s="15">
        <f t="shared" si="10"/>
        <v>5.175671576668802E-2</v>
      </c>
      <c r="T27" s="15">
        <f t="shared" si="11"/>
        <v>1</v>
      </c>
      <c r="U27" s="15">
        <f t="shared" si="12"/>
        <v>0.23995339498359519</v>
      </c>
      <c r="V27" s="15">
        <f t="shared" si="13"/>
        <v>-0.51471268338571641</v>
      </c>
      <c r="W27" s="15">
        <f t="shared" si="14"/>
        <v>-65.00558424104554</v>
      </c>
    </row>
    <row r="28" spans="1:23" x14ac:dyDescent="0.2">
      <c r="A28" s="48">
        <f t="shared" si="16"/>
        <v>18</v>
      </c>
      <c r="B28" s="193">
        <v>261</v>
      </c>
      <c r="C28" s="193">
        <v>0.36</v>
      </c>
      <c r="D28" s="193">
        <v>326.42</v>
      </c>
      <c r="E28" s="14">
        <f t="shared" si="15"/>
        <v>14.800000000000011</v>
      </c>
      <c r="F28" s="47">
        <f t="shared" si="18"/>
        <v>260.99875083554195</v>
      </c>
      <c r="G28" s="47">
        <f t="shared" si="0"/>
        <v>0.3110158536012283</v>
      </c>
      <c r="H28" s="49">
        <f t="shared" si="1"/>
        <v>0.31101585360122802</v>
      </c>
      <c r="I28" s="50" t="str">
        <f t="shared" si="2"/>
        <v>N</v>
      </c>
      <c r="J28" s="49">
        <f t="shared" si="3"/>
        <v>0.56617984559727164</v>
      </c>
      <c r="K28" s="50" t="str">
        <f t="shared" si="4"/>
        <v>W</v>
      </c>
      <c r="L28" s="47">
        <f t="shared" si="5"/>
        <v>0.64598024640994312</v>
      </c>
      <c r="M28" s="47">
        <f t="shared" si="6"/>
        <v>298.78102345557056</v>
      </c>
      <c r="N28" s="47">
        <f t="shared" si="7"/>
        <v>0.33531275670016947</v>
      </c>
      <c r="O28" s="47">
        <f t="shared" si="8"/>
        <v>0.27027027027026995</v>
      </c>
      <c r="P28" s="47">
        <f t="shared" si="9"/>
        <v>33.513513513513736</v>
      </c>
      <c r="S28" s="15">
        <f t="shared" si="10"/>
        <v>4.9626287991625113E-2</v>
      </c>
      <c r="T28" s="15">
        <f t="shared" si="11"/>
        <v>1</v>
      </c>
      <c r="U28" s="15">
        <f t="shared" si="12"/>
        <v>0.31101585360122802</v>
      </c>
      <c r="V28" s="15">
        <f t="shared" si="13"/>
        <v>-0.56617984559727164</v>
      </c>
      <c r="W28" s="15">
        <f t="shared" ref="W28:W43" si="20">DEGREES(ATAN(V28/U28))</f>
        <v>-61.218976544429452</v>
      </c>
    </row>
    <row r="29" spans="1:23" x14ac:dyDescent="0.2">
      <c r="A29" s="48">
        <f t="shared" si="16"/>
        <v>19</v>
      </c>
      <c r="B29" s="193">
        <v>272.75</v>
      </c>
      <c r="C29" s="193">
        <v>0.35</v>
      </c>
      <c r="D29" s="193">
        <v>319.04000000000002</v>
      </c>
      <c r="E29" s="14">
        <f t="shared" si="15"/>
        <v>11.75</v>
      </c>
      <c r="F29" s="47">
        <f t="shared" si="18"/>
        <v>272.74852525373797</v>
      </c>
      <c r="G29" s="47">
        <f t="shared" si="0"/>
        <v>0.36887052700446687</v>
      </c>
      <c r="H29" s="49">
        <f t="shared" si="1"/>
        <v>0.36887052700446721</v>
      </c>
      <c r="I29" s="50" t="str">
        <f t="shared" si="2"/>
        <v>N</v>
      </c>
      <c r="J29" s="49">
        <f t="shared" si="3"/>
        <v>0.61012251835953857</v>
      </c>
      <c r="K29" s="50" t="str">
        <f t="shared" si="4"/>
        <v>W</v>
      </c>
      <c r="L29" s="47">
        <f t="shared" si="5"/>
        <v>0.71296209794205667</v>
      </c>
      <c r="M29" s="47">
        <f t="shared" si="6"/>
        <v>301.15650125811663</v>
      </c>
      <c r="N29" s="47">
        <f t="shared" si="7"/>
        <v>0.39805104685176412</v>
      </c>
      <c r="O29" s="47">
        <f t="shared" si="8"/>
        <v>-8.5106382978723472E-2</v>
      </c>
      <c r="P29" s="47">
        <f t="shared" si="9"/>
        <v>-62.808510638297832</v>
      </c>
      <c r="S29" s="15">
        <f t="shared" si="10"/>
        <v>4.677099800508229E-2</v>
      </c>
      <c r="T29" s="15">
        <f t="shared" si="11"/>
        <v>1</v>
      </c>
      <c r="U29" s="15">
        <f t="shared" si="12"/>
        <v>0.36887052700446721</v>
      </c>
      <c r="V29" s="15">
        <f t="shared" si="13"/>
        <v>-0.61012251835953857</v>
      </c>
      <c r="W29" s="15">
        <f t="shared" si="20"/>
        <v>-58.843498741883344</v>
      </c>
    </row>
    <row r="30" spans="1:23" x14ac:dyDescent="0.2">
      <c r="A30" s="48">
        <f t="shared" si="16"/>
        <v>20</v>
      </c>
      <c r="B30" s="193">
        <v>284.5</v>
      </c>
      <c r="C30" s="193">
        <v>0.35</v>
      </c>
      <c r="D30" s="193">
        <v>311.39999999999998</v>
      </c>
      <c r="E30" s="14">
        <f t="shared" si="15"/>
        <v>11.75</v>
      </c>
      <c r="F30" s="47">
        <f t="shared" si="18"/>
        <v>284.49830602507041</v>
      </c>
      <c r="G30" s="47">
        <f t="shared" si="0"/>
        <v>0.41970529047306182</v>
      </c>
      <c r="H30" s="49">
        <f t="shared" si="1"/>
        <v>0.41970529047306215</v>
      </c>
      <c r="I30" s="50" t="str">
        <f t="shared" si="2"/>
        <v>N</v>
      </c>
      <c r="J30" s="49">
        <f t="shared" si="3"/>
        <v>0.66056839019492142</v>
      </c>
      <c r="K30" s="50" t="str">
        <f t="shared" si="4"/>
        <v>W</v>
      </c>
      <c r="L30" s="47">
        <f t="shared" si="5"/>
        <v>0.78262579115167641</v>
      </c>
      <c r="M30" s="47">
        <f t="shared" si="6"/>
        <v>302.43064951321173</v>
      </c>
      <c r="N30" s="47">
        <f t="shared" si="7"/>
        <v>0.39689572415839725</v>
      </c>
      <c r="O30" s="47">
        <f t="shared" si="8"/>
        <v>0</v>
      </c>
      <c r="P30" s="47">
        <f t="shared" si="9"/>
        <v>-65.02127659574505</v>
      </c>
      <c r="S30" s="15">
        <f t="shared" si="10"/>
        <v>4.6635247588611678E-2</v>
      </c>
      <c r="T30" s="15">
        <f t="shared" si="11"/>
        <v>1</v>
      </c>
      <c r="U30" s="15">
        <f t="shared" si="12"/>
        <v>0.41970529047306215</v>
      </c>
      <c r="V30" s="15">
        <f t="shared" si="13"/>
        <v>-0.66056839019492142</v>
      </c>
      <c r="W30" s="15">
        <f t="shared" si="20"/>
        <v>-57.569350486788267</v>
      </c>
    </row>
    <row r="31" spans="1:23" x14ac:dyDescent="0.2">
      <c r="A31" s="48">
        <f t="shared" si="16"/>
        <v>21</v>
      </c>
      <c r="B31" s="193">
        <v>296.25</v>
      </c>
      <c r="C31" s="193">
        <v>0.35</v>
      </c>
      <c r="D31" s="193">
        <v>303.79000000000002</v>
      </c>
      <c r="E31" s="14">
        <f t="shared" si="15"/>
        <v>11.75</v>
      </c>
      <c r="F31" s="47">
        <f t="shared" si="18"/>
        <v>296.24808679640284</v>
      </c>
      <c r="G31" s="47">
        <f t="shared" si="0"/>
        <v>0.4633977158224511</v>
      </c>
      <c r="H31" s="49">
        <f t="shared" si="1"/>
        <v>0.46339771582245082</v>
      </c>
      <c r="I31" s="50" t="str">
        <f t="shared" si="2"/>
        <v>N</v>
      </c>
      <c r="J31" s="49">
        <f t="shared" si="3"/>
        <v>0.71731440408716041</v>
      </c>
      <c r="K31" s="50" t="str">
        <f t="shared" si="4"/>
        <v>W</v>
      </c>
      <c r="L31" s="47">
        <f t="shared" si="5"/>
        <v>0.8539773986121546</v>
      </c>
      <c r="M31" s="47">
        <f t="shared" si="6"/>
        <v>302.86317075175009</v>
      </c>
      <c r="N31" s="47">
        <f t="shared" si="7"/>
        <v>0.39533952932114041</v>
      </c>
      <c r="O31" s="47">
        <f t="shared" si="8"/>
        <v>0</v>
      </c>
      <c r="P31" s="47">
        <f t="shared" si="9"/>
        <v>-64.765957446808144</v>
      </c>
      <c r="S31" s="15">
        <f t="shared" si="10"/>
        <v>4.6452394695233996E-2</v>
      </c>
      <c r="T31" s="15">
        <f t="shared" si="11"/>
        <v>1</v>
      </c>
      <c r="U31" s="15">
        <f t="shared" si="12"/>
        <v>0.46339771582245082</v>
      </c>
      <c r="V31" s="15">
        <f t="shared" si="13"/>
        <v>-0.71731440408716041</v>
      </c>
      <c r="W31" s="15">
        <f t="shared" si="20"/>
        <v>-57.136829248249931</v>
      </c>
    </row>
    <row r="32" spans="1:23" x14ac:dyDescent="0.2">
      <c r="A32" s="48">
        <f t="shared" si="16"/>
        <v>22</v>
      </c>
      <c r="B32" s="193">
        <v>308</v>
      </c>
      <c r="C32" s="193">
        <v>0.36</v>
      </c>
      <c r="D32" s="193">
        <v>296.45999999999998</v>
      </c>
      <c r="E32" s="14">
        <f t="shared" si="15"/>
        <v>11.75</v>
      </c>
      <c r="F32" s="47">
        <f t="shared" si="18"/>
        <v>307.99786121459886</v>
      </c>
      <c r="G32" s="47">
        <f t="shared" si="0"/>
        <v>0.49980455156392778</v>
      </c>
      <c r="H32" s="49">
        <f t="shared" si="1"/>
        <v>0.49980455156392739</v>
      </c>
      <c r="I32" s="50" t="str">
        <f t="shared" si="2"/>
        <v>N</v>
      </c>
      <c r="J32" s="49">
        <f t="shared" si="3"/>
        <v>0.78018697383757685</v>
      </c>
      <c r="K32" s="50" t="str">
        <f t="shared" si="4"/>
        <v>W</v>
      </c>
      <c r="L32" s="47">
        <f t="shared" si="5"/>
        <v>0.92655075625129912</v>
      </c>
      <c r="M32" s="47">
        <f t="shared" si="6"/>
        <v>302.6444980610346</v>
      </c>
      <c r="N32" s="47">
        <f t="shared" si="7"/>
        <v>0.39548142876336106</v>
      </c>
      <c r="O32" s="47">
        <f t="shared" si="8"/>
        <v>8.5106382978723472E-2</v>
      </c>
      <c r="P32" s="47">
        <f t="shared" si="9"/>
        <v>-62.382978723404605</v>
      </c>
      <c r="S32" s="15">
        <f t="shared" si="10"/>
        <v>4.6469067879694924E-2</v>
      </c>
      <c r="T32" s="15">
        <f t="shared" si="11"/>
        <v>1</v>
      </c>
      <c r="U32" s="15">
        <f t="shared" si="12"/>
        <v>0.49980455156392739</v>
      </c>
      <c r="V32" s="15">
        <f t="shared" si="13"/>
        <v>-0.78018697383757685</v>
      </c>
      <c r="W32" s="15">
        <f t="shared" si="20"/>
        <v>-57.355501938965418</v>
      </c>
    </row>
    <row r="33" spans="1:23" x14ac:dyDescent="0.2">
      <c r="A33" s="48">
        <f t="shared" si="16"/>
        <v>23</v>
      </c>
      <c r="B33" s="193">
        <v>322.5</v>
      </c>
      <c r="C33" s="193">
        <v>0.38</v>
      </c>
      <c r="D33" s="193">
        <v>299.39</v>
      </c>
      <c r="E33" s="14">
        <f t="shared" si="15"/>
        <v>14.5</v>
      </c>
      <c r="F33" s="47">
        <f t="shared" si="18"/>
        <v>322.49755865440193</v>
      </c>
      <c r="G33" s="47">
        <f t="shared" si="0"/>
        <v>0.5436986863994917</v>
      </c>
      <c r="H33" s="49">
        <f t="shared" si="1"/>
        <v>0.54369868639949226</v>
      </c>
      <c r="I33" s="50" t="str">
        <f t="shared" si="2"/>
        <v>N</v>
      </c>
      <c r="J33" s="49">
        <f t="shared" si="3"/>
        <v>0.8628630150539508</v>
      </c>
      <c r="K33" s="50" t="str">
        <f t="shared" si="4"/>
        <v>W</v>
      </c>
      <c r="L33" s="47">
        <f t="shared" si="5"/>
        <v>1.0198729550000472</v>
      </c>
      <c r="M33" s="47">
        <f t="shared" si="6"/>
        <v>302.21544272293914</v>
      </c>
      <c r="N33" s="47">
        <f t="shared" si="7"/>
        <v>0.1898324111373581</v>
      </c>
      <c r="O33" s="47">
        <f t="shared" si="8"/>
        <v>0.13793103448275873</v>
      </c>
      <c r="P33" s="47">
        <f t="shared" si="9"/>
        <v>20.206896551724185</v>
      </c>
      <c r="S33" s="15">
        <f t="shared" si="10"/>
        <v>2.7525699614916924E-2</v>
      </c>
      <c r="T33" s="15">
        <f t="shared" si="11"/>
        <v>1</v>
      </c>
      <c r="U33" s="15">
        <f t="shared" si="12"/>
        <v>0.54369868639949226</v>
      </c>
      <c r="V33" s="15">
        <f t="shared" si="13"/>
        <v>-0.8628630150539508</v>
      </c>
      <c r="W33" s="15">
        <f t="shared" si="20"/>
        <v>-57.784557277060841</v>
      </c>
    </row>
    <row r="34" spans="1:23" x14ac:dyDescent="0.2">
      <c r="A34" s="48">
        <f t="shared" si="16"/>
        <v>24</v>
      </c>
      <c r="B34" s="193">
        <v>337</v>
      </c>
      <c r="C34" s="193">
        <v>0.41</v>
      </c>
      <c r="D34" s="193">
        <v>301.97000000000003</v>
      </c>
      <c r="E34" s="14">
        <f t="shared" si="15"/>
        <v>14.5</v>
      </c>
      <c r="F34" s="47">
        <f>IF(B34="","",IF($U$1=1,F33+(T34*E34/2*(COS(RADIANS(C34))+COS(RADIANS(C33)))), IF($U$1=2,IF(C34=C33,F33+E34*(COS(RADIANS(C34))),F33+(E34/(C34-C33))*(DEGREES(SIN(RADIANS(C34))-SIN(RADIANS(C33))))),F33+(E34*(COS(RADIANS((C34+C33)/2)))))))</f>
        <v>336.99721358135764</v>
      </c>
      <c r="G34" s="47">
        <f t="shared" si="0"/>
        <v>0.59476461980898865</v>
      </c>
      <c r="H34" s="49">
        <f t="shared" si="1"/>
        <v>0.5947646198089892</v>
      </c>
      <c r="I34" s="50" t="str">
        <f t="shared" si="2"/>
        <v>N</v>
      </c>
      <c r="J34" s="49">
        <f t="shared" si="3"/>
        <v>0.94876878973668266</v>
      </c>
      <c r="K34" s="50" t="str">
        <f t="shared" si="4"/>
        <v>W</v>
      </c>
      <c r="L34" s="47">
        <f t="shared" si="5"/>
        <v>1.1197799647050937</v>
      </c>
      <c r="M34" s="47">
        <f t="shared" si="6"/>
        <v>302.08279562592469</v>
      </c>
      <c r="N34" s="47">
        <f t="shared" si="7"/>
        <v>0.24047617644851219</v>
      </c>
      <c r="O34" s="47">
        <f t="shared" si="8"/>
        <v>0.20689655172413771</v>
      </c>
      <c r="P34" s="47">
        <f t="shared" si="9"/>
        <v>17.793103448276142</v>
      </c>
      <c r="S34" s="15">
        <f t="shared" si="10"/>
        <v>3.4869045585034265E-2</v>
      </c>
      <c r="T34" s="15">
        <f t="shared" si="11"/>
        <v>1</v>
      </c>
      <c r="U34" s="15">
        <f t="shared" si="12"/>
        <v>0.5947646198089892</v>
      </c>
      <c r="V34" s="15">
        <f t="shared" si="13"/>
        <v>-0.94876878973668266</v>
      </c>
      <c r="W34" s="15">
        <f t="shared" si="20"/>
        <v>-57.91720437407529</v>
      </c>
    </row>
    <row r="35" spans="1:23" x14ac:dyDescent="0.2">
      <c r="A35" s="48">
        <f t="shared" si="16"/>
        <v>25</v>
      </c>
      <c r="B35" s="193">
        <v>351.5</v>
      </c>
      <c r="C35" s="193">
        <v>0.44</v>
      </c>
      <c r="D35" s="193">
        <v>304.24</v>
      </c>
      <c r="E35" s="14">
        <f t="shared" si="15"/>
        <v>14.5</v>
      </c>
      <c r="F35" s="47">
        <f t="shared" si="18"/>
        <v>351.49681418026267</v>
      </c>
      <c r="G35" s="47">
        <f t="shared" si="0"/>
        <v>0.65355989813439708</v>
      </c>
      <c r="H35" s="49">
        <f t="shared" si="1"/>
        <v>0.65355989813439774</v>
      </c>
      <c r="I35" s="50" t="str">
        <f t="shared" si="2"/>
        <v>N</v>
      </c>
      <c r="J35" s="49">
        <f t="shared" si="3"/>
        <v>1.0388056928903175</v>
      </c>
      <c r="K35" s="50" t="str">
        <f t="shared" si="4"/>
        <v>W</v>
      </c>
      <c r="L35" s="47">
        <f t="shared" si="5"/>
        <v>1.2272969518542678</v>
      </c>
      <c r="M35" s="47">
        <f t="shared" si="6"/>
        <v>302.17586457740896</v>
      </c>
      <c r="N35" s="47">
        <f t="shared" si="7"/>
        <v>0.23721782173396178</v>
      </c>
      <c r="O35" s="47">
        <f t="shared" si="8"/>
        <v>0.20689655172413809</v>
      </c>
      <c r="P35" s="47">
        <f t="shared" si="9"/>
        <v>15.655172413792977</v>
      </c>
      <c r="S35" s="15">
        <f t="shared" si="10"/>
        <v>3.4396584151424457E-2</v>
      </c>
      <c r="T35" s="15">
        <f t="shared" si="11"/>
        <v>1</v>
      </c>
      <c r="U35" s="15">
        <f t="shared" si="12"/>
        <v>0.65355989813439774</v>
      </c>
      <c r="V35" s="15">
        <f t="shared" si="13"/>
        <v>-1.0388056928903175</v>
      </c>
      <c r="W35" s="15">
        <f t="shared" si="20"/>
        <v>-57.82413542259102</v>
      </c>
    </row>
    <row r="36" spans="1:23" x14ac:dyDescent="0.2">
      <c r="A36" s="48">
        <f t="shared" si="16"/>
        <v>26</v>
      </c>
      <c r="B36" s="193">
        <v>366</v>
      </c>
      <c r="C36" s="193">
        <v>0.46</v>
      </c>
      <c r="D36" s="193">
        <v>306.26</v>
      </c>
      <c r="E36" s="14">
        <f t="shared" si="15"/>
        <v>14.5</v>
      </c>
      <c r="F36" s="47">
        <f t="shared" si="18"/>
        <v>365.9963667452713</v>
      </c>
      <c r="G36" s="47">
        <f t="shared" si="0"/>
        <v>0.7193123101315011</v>
      </c>
      <c r="H36" s="49">
        <f t="shared" si="1"/>
        <v>0.71931231013150154</v>
      </c>
      <c r="I36" s="50" t="str">
        <f t="shared" si="2"/>
        <v>N</v>
      </c>
      <c r="J36" s="49">
        <f t="shared" si="3"/>
        <v>1.1317659139584486</v>
      </c>
      <c r="K36" s="50" t="str">
        <f t="shared" si="4"/>
        <v>W</v>
      </c>
      <c r="L36" s="47">
        <f t="shared" si="5"/>
        <v>1.3410086813682154</v>
      </c>
      <c r="M36" s="47">
        <f t="shared" si="6"/>
        <v>302.4386655705253</v>
      </c>
      <c r="N36" s="47">
        <f t="shared" si="7"/>
        <v>0.17603697386670517</v>
      </c>
      <c r="O36" s="47">
        <f t="shared" si="8"/>
        <v>0.13793103448275873</v>
      </c>
      <c r="P36" s="47">
        <f t="shared" si="9"/>
        <v>13.931034482758495</v>
      </c>
      <c r="S36" s="15">
        <f t="shared" si="10"/>
        <v>2.552536121067225E-2</v>
      </c>
      <c r="T36" s="15">
        <f t="shared" si="11"/>
        <v>1</v>
      </c>
      <c r="U36" s="15">
        <f t="shared" si="12"/>
        <v>0.71931231013150154</v>
      </c>
      <c r="V36" s="15">
        <f t="shared" si="13"/>
        <v>-1.1317659139584486</v>
      </c>
      <c r="W36" s="15">
        <f t="shared" si="20"/>
        <v>-57.561334429474677</v>
      </c>
    </row>
    <row r="37" spans="1:23" x14ac:dyDescent="0.2">
      <c r="A37" s="48">
        <f t="shared" si="16"/>
        <v>27</v>
      </c>
      <c r="B37" s="193">
        <v>380.5</v>
      </c>
      <c r="C37" s="193">
        <v>0.49</v>
      </c>
      <c r="D37" s="193">
        <v>308.05</v>
      </c>
      <c r="E37" s="14">
        <f t="shared" si="15"/>
        <v>14.5</v>
      </c>
      <c r="F37" s="47">
        <f t="shared" si="18"/>
        <v>380.49586796377139</v>
      </c>
      <c r="G37" s="47">
        <f t="shared" si="0"/>
        <v>0.79195323952858798</v>
      </c>
      <c r="H37" s="49">
        <f t="shared" si="1"/>
        <v>0.79195323952858787</v>
      </c>
      <c r="I37" s="50" t="str">
        <f t="shared" si="2"/>
        <v>N</v>
      </c>
      <c r="J37" s="49">
        <f t="shared" si="3"/>
        <v>1.227524870171167</v>
      </c>
      <c r="K37" s="50" t="str">
        <f t="shared" si="4"/>
        <v>W</v>
      </c>
      <c r="L37" s="47">
        <f t="shared" si="5"/>
        <v>1.4608241648085389</v>
      </c>
      <c r="M37" s="47">
        <f t="shared" si="6"/>
        <v>302.82859816185282</v>
      </c>
      <c r="N37" s="47">
        <f t="shared" si="7"/>
        <v>0.23079998755170988</v>
      </c>
      <c r="O37" s="47">
        <f t="shared" si="8"/>
        <v>0.20689655172413771</v>
      </c>
      <c r="P37" s="47">
        <f t="shared" si="9"/>
        <v>12.344827586207037</v>
      </c>
      <c r="S37" s="15">
        <f t="shared" si="10"/>
        <v>3.3465998194997931E-2</v>
      </c>
      <c r="T37" s="15">
        <f t="shared" si="11"/>
        <v>1</v>
      </c>
      <c r="U37" s="15">
        <f t="shared" si="12"/>
        <v>0.79195323952858787</v>
      </c>
      <c r="V37" s="15">
        <f t="shared" si="13"/>
        <v>-1.227524870171167</v>
      </c>
      <c r="W37" s="15">
        <f t="shared" si="20"/>
        <v>-57.17140183814719</v>
      </c>
    </row>
    <row r="38" spans="1:23" x14ac:dyDescent="0.2">
      <c r="A38" s="48">
        <f t="shared" si="16"/>
        <v>28</v>
      </c>
      <c r="B38" s="193">
        <v>395</v>
      </c>
      <c r="C38" s="193">
        <v>0.52</v>
      </c>
      <c r="D38" s="193">
        <v>309.66000000000003</v>
      </c>
      <c r="E38" s="14">
        <f t="shared" si="15"/>
        <v>14.5</v>
      </c>
      <c r="F38" s="47">
        <f t="shared" si="18"/>
        <v>394.99530425386291</v>
      </c>
      <c r="G38" s="47">
        <f t="shared" si="0"/>
        <v>0.87216244304972224</v>
      </c>
      <c r="H38" s="49">
        <f t="shared" si="1"/>
        <v>0.87216244304972224</v>
      </c>
      <c r="I38" s="50" t="str">
        <f t="shared" si="2"/>
        <v>N</v>
      </c>
      <c r="J38" s="49">
        <f t="shared" si="3"/>
        <v>1.3270041237616161</v>
      </c>
      <c r="K38" s="50" t="str">
        <f t="shared" si="4"/>
        <v>W</v>
      </c>
      <c r="L38" s="47">
        <f t="shared" si="5"/>
        <v>1.587956948895906</v>
      </c>
      <c r="M38" s="47">
        <f t="shared" si="6"/>
        <v>303.31458580430785</v>
      </c>
      <c r="N38" s="47">
        <f t="shared" si="7"/>
        <v>0.22885449487241849</v>
      </c>
      <c r="O38" s="47">
        <f t="shared" si="8"/>
        <v>0.20689655172413809</v>
      </c>
      <c r="P38" s="47">
        <f t="shared" si="9"/>
        <v>11.103448275862162</v>
      </c>
      <c r="S38" s="15">
        <f t="shared" si="10"/>
        <v>3.3183901756500683E-2</v>
      </c>
      <c r="T38" s="15">
        <f t="shared" si="11"/>
        <v>1</v>
      </c>
      <c r="U38" s="15">
        <f t="shared" si="12"/>
        <v>0.87216244304972224</v>
      </c>
      <c r="V38" s="15">
        <f t="shared" si="13"/>
        <v>-1.3270041237616161</v>
      </c>
      <c r="W38" s="15">
        <f t="shared" si="20"/>
        <v>-56.685414195692125</v>
      </c>
    </row>
    <row r="39" spans="1:23" x14ac:dyDescent="0.2">
      <c r="A39" s="48">
        <f t="shared" si="16"/>
        <v>29</v>
      </c>
      <c r="B39" s="193">
        <v>409.5</v>
      </c>
      <c r="C39" s="193">
        <v>0.52</v>
      </c>
      <c r="D39" s="193">
        <v>311.66000000000003</v>
      </c>
      <c r="E39" s="14">
        <f t="shared" si="15"/>
        <v>14.5</v>
      </c>
      <c r="F39" s="47">
        <f t="shared" si="18"/>
        <v>409.49470708597215</v>
      </c>
      <c r="G39" s="47">
        <f t="shared" si="0"/>
        <v>0.95789326606155678</v>
      </c>
      <c r="H39" s="49">
        <f t="shared" si="1"/>
        <v>0.95789326606155756</v>
      </c>
      <c r="I39" s="50" t="str">
        <f t="shared" si="2"/>
        <v>N</v>
      </c>
      <c r="J39" s="49">
        <f t="shared" si="3"/>
        <v>1.4268162649447567</v>
      </c>
      <c r="K39" s="50" t="str">
        <f t="shared" si="4"/>
        <v>W</v>
      </c>
      <c r="L39" s="47">
        <f t="shared" si="5"/>
        <v>1.7185354704157212</v>
      </c>
      <c r="M39" s="47">
        <f t="shared" si="6"/>
        <v>303.87544135309372</v>
      </c>
      <c r="N39" s="47">
        <f t="shared" si="7"/>
        <v>0.12517416275633936</v>
      </c>
      <c r="O39" s="47">
        <f t="shared" si="8"/>
        <v>0</v>
      </c>
      <c r="P39" s="47">
        <f t="shared" si="9"/>
        <v>13.793103448275861</v>
      </c>
      <c r="S39" s="15">
        <f t="shared" si="10"/>
        <v>1.8150253599669208E-2</v>
      </c>
      <c r="T39" s="15">
        <f t="shared" si="11"/>
        <v>1</v>
      </c>
      <c r="U39" s="15">
        <f t="shared" si="12"/>
        <v>0.95789326606155756</v>
      </c>
      <c r="V39" s="15">
        <f t="shared" si="13"/>
        <v>-1.4268162649447567</v>
      </c>
      <c r="W39" s="15">
        <f t="shared" si="20"/>
        <v>-56.124558646906252</v>
      </c>
    </row>
    <row r="40" spans="1:23" x14ac:dyDescent="0.2">
      <c r="A40" s="48">
        <f t="shared" si="16"/>
        <v>30</v>
      </c>
      <c r="B40" s="193">
        <v>424</v>
      </c>
      <c r="C40" s="193">
        <v>0.52</v>
      </c>
      <c r="D40" s="193">
        <v>313.64</v>
      </c>
      <c r="E40" s="14">
        <f t="shared" si="15"/>
        <v>14.5</v>
      </c>
      <c r="F40" s="47">
        <f t="shared" si="18"/>
        <v>423.99410991808139</v>
      </c>
      <c r="G40" s="47">
        <f t="shared" si="0"/>
        <v>1.0470386388309831</v>
      </c>
      <c r="H40" s="49">
        <f t="shared" si="1"/>
        <v>1.0470386388309838</v>
      </c>
      <c r="I40" s="50" t="str">
        <f t="shared" si="2"/>
        <v>N</v>
      </c>
      <c r="J40" s="49">
        <f t="shared" si="3"/>
        <v>1.5235914942720021</v>
      </c>
      <c r="K40" s="50" t="str">
        <f t="shared" si="4"/>
        <v>W</v>
      </c>
      <c r="L40" s="47">
        <f t="shared" si="5"/>
        <v>1.8486808682471487</v>
      </c>
      <c r="M40" s="47">
        <f t="shared" si="6"/>
        <v>304.49752794924837</v>
      </c>
      <c r="N40" s="47">
        <f t="shared" si="7"/>
        <v>0.12392254628308766</v>
      </c>
      <c r="O40" s="47">
        <f t="shared" si="8"/>
        <v>0</v>
      </c>
      <c r="P40" s="47">
        <f t="shared" si="9"/>
        <v>13.655172413792837</v>
      </c>
      <c r="S40" s="15">
        <f t="shared" si="10"/>
        <v>1.796876921104771E-2</v>
      </c>
      <c r="T40" s="15">
        <f t="shared" si="11"/>
        <v>1</v>
      </c>
      <c r="U40" s="15">
        <f t="shared" si="12"/>
        <v>1.0470386388309838</v>
      </c>
      <c r="V40" s="15">
        <f t="shared" si="13"/>
        <v>-1.5235914942720021</v>
      </c>
      <c r="W40" s="15">
        <f t="shared" si="20"/>
        <v>-55.502472050751621</v>
      </c>
    </row>
    <row r="41" spans="1:23" x14ac:dyDescent="0.2">
      <c r="A41" s="48">
        <f t="shared" si="16"/>
        <v>31</v>
      </c>
      <c r="B41" s="51">
        <v>438.5</v>
      </c>
      <c r="C41" s="51">
        <v>0.52</v>
      </c>
      <c r="D41" s="51">
        <v>315.61</v>
      </c>
      <c r="E41" s="14">
        <f t="shared" si="15"/>
        <v>14.5</v>
      </c>
      <c r="F41" s="47">
        <f t="shared" si="18"/>
        <v>438.49351275019063</v>
      </c>
      <c r="G41" s="47">
        <f t="shared" si="0"/>
        <v>1.1394664007225239</v>
      </c>
      <c r="H41" s="49">
        <f t="shared" si="1"/>
        <v>1.1394664007225248</v>
      </c>
      <c r="I41" s="50" t="str">
        <f t="shared" si="2"/>
        <v>N</v>
      </c>
      <c r="J41" s="49">
        <f t="shared" si="3"/>
        <v>1.6172371210342962</v>
      </c>
      <c r="K41" s="50" t="str">
        <f t="shared" si="4"/>
        <v>W</v>
      </c>
      <c r="L41" s="47">
        <f t="shared" si="5"/>
        <v>1.9783426356490537</v>
      </c>
      <c r="M41" s="47">
        <f t="shared" si="6"/>
        <v>305.16760414282197</v>
      </c>
      <c r="N41" s="47">
        <f t="shared" si="7"/>
        <v>0.12329673661907271</v>
      </c>
      <c r="O41" s="47">
        <f t="shared" si="8"/>
        <v>0</v>
      </c>
      <c r="P41" s="47">
        <f t="shared" si="9"/>
        <v>13.586206896551911</v>
      </c>
      <c r="S41" s="15">
        <f t="shared" si="10"/>
        <v>1.7878026809765545E-2</v>
      </c>
      <c r="T41" s="15">
        <f t="shared" si="11"/>
        <v>1</v>
      </c>
      <c r="U41" s="15">
        <f t="shared" si="12"/>
        <v>1.1394664007225248</v>
      </c>
      <c r="V41" s="15">
        <f t="shared" si="13"/>
        <v>-1.6172371210342962</v>
      </c>
      <c r="W41" s="15">
        <f t="shared" si="20"/>
        <v>-54.832395857178014</v>
      </c>
    </row>
    <row r="42" spans="1:23" x14ac:dyDescent="0.2">
      <c r="A42" s="48">
        <f t="shared" si="16"/>
        <v>32</v>
      </c>
      <c r="B42" s="51">
        <v>453</v>
      </c>
      <c r="C42" s="51">
        <v>0.53</v>
      </c>
      <c r="D42" s="51">
        <v>317.55</v>
      </c>
      <c r="E42" s="14">
        <f t="shared" si="15"/>
        <v>14.5</v>
      </c>
      <c r="F42" s="47">
        <f t="shared" si="18"/>
        <v>452.9929039879616</v>
      </c>
      <c r="G42" s="47">
        <f t="shared" si="0"/>
        <v>1.2359691003571562</v>
      </c>
      <c r="H42" s="49">
        <f t="shared" si="1"/>
        <v>1.2359691003571558</v>
      </c>
      <c r="I42" s="50" t="str">
        <f t="shared" si="2"/>
        <v>N</v>
      </c>
      <c r="J42" s="49">
        <f t="shared" si="3"/>
        <v>1.7085295273592802</v>
      </c>
      <c r="K42" s="50" t="str">
        <f t="shared" si="4"/>
        <v>W</v>
      </c>
      <c r="L42" s="47">
        <f t="shared" si="5"/>
        <v>2.1087182748997559</v>
      </c>
      <c r="M42" s="47">
        <f t="shared" si="6"/>
        <v>305.88239195269625</v>
      </c>
      <c r="N42" s="47">
        <f t="shared" si="7"/>
        <v>0.14064989867357602</v>
      </c>
      <c r="O42" s="47">
        <f t="shared" si="8"/>
        <v>6.8965517241379365E-2</v>
      </c>
      <c r="P42" s="47">
        <f t="shared" si="9"/>
        <v>13.379310344827569</v>
      </c>
      <c r="S42" s="15">
        <f t="shared" si="10"/>
        <v>2.0394235307668523E-2</v>
      </c>
      <c r="T42" s="15">
        <f t="shared" si="11"/>
        <v>1</v>
      </c>
      <c r="U42" s="15">
        <f t="shared" si="12"/>
        <v>1.2359691003571558</v>
      </c>
      <c r="V42" s="15">
        <f t="shared" si="13"/>
        <v>-1.7085295273592802</v>
      </c>
      <c r="W42" s="15">
        <f t="shared" si="20"/>
        <v>-54.117608047303776</v>
      </c>
    </row>
    <row r="43" spans="1:23" x14ac:dyDescent="0.2">
      <c r="A43" s="48">
        <f t="shared" si="16"/>
        <v>33</v>
      </c>
      <c r="B43" s="51">
        <v>467.5</v>
      </c>
      <c r="C43" s="51">
        <v>0.53</v>
      </c>
      <c r="D43" s="51">
        <v>319.45999999999998</v>
      </c>
      <c r="E43" s="14">
        <f t="shared" si="15"/>
        <v>14.5</v>
      </c>
      <c r="F43" s="47">
        <f t="shared" si="18"/>
        <v>467.49228363139429</v>
      </c>
      <c r="G43" s="47">
        <f t="shared" si="0"/>
        <v>1.3364178153835367</v>
      </c>
      <c r="H43" s="49">
        <f t="shared" si="1"/>
        <v>1.3364178153835375</v>
      </c>
      <c r="I43" s="50" t="str">
        <f t="shared" si="2"/>
        <v>N</v>
      </c>
      <c r="J43" s="49">
        <f t="shared" si="3"/>
        <v>1.7973834174027818</v>
      </c>
      <c r="K43" s="50" t="str">
        <f t="shared" si="4"/>
        <v>W</v>
      </c>
      <c r="L43" s="47">
        <f t="shared" si="5"/>
        <v>2.2397767135205711</v>
      </c>
      <c r="M43" s="47">
        <f t="shared" si="6"/>
        <v>306.63210093772591</v>
      </c>
      <c r="N43" s="47">
        <f t="shared" si="7"/>
        <v>0.12184067630631738</v>
      </c>
      <c r="O43" s="47">
        <f t="shared" si="8"/>
        <v>0</v>
      </c>
      <c r="P43" s="47">
        <f t="shared" si="9"/>
        <v>13.172413793103228</v>
      </c>
      <c r="S43" s="15">
        <f t="shared" si="10"/>
        <v>1.7666898064416021E-2</v>
      </c>
      <c r="T43" s="15">
        <f t="shared" si="11"/>
        <v>1</v>
      </c>
      <c r="U43" s="15">
        <f t="shared" si="12"/>
        <v>1.3364178153835375</v>
      </c>
      <c r="V43" s="15">
        <f t="shared" si="13"/>
        <v>-1.7973834174027818</v>
      </c>
      <c r="W43" s="15">
        <f t="shared" si="20"/>
        <v>-53.367899062274077</v>
      </c>
    </row>
    <row r="44" spans="1:23" x14ac:dyDescent="0.2">
      <c r="A44" s="48">
        <f t="shared" si="16"/>
        <v>34</v>
      </c>
      <c r="B44" s="51">
        <v>482</v>
      </c>
      <c r="C44" s="51">
        <v>0.54</v>
      </c>
      <c r="D44" s="51">
        <v>321.33999999999997</v>
      </c>
      <c r="E44" s="14">
        <f t="shared" si="15"/>
        <v>14.5</v>
      </c>
      <c r="F44" s="47">
        <f t="shared" si="18"/>
        <v>481.99165145965054</v>
      </c>
      <c r="G44" s="47">
        <f t="shared" si="0"/>
        <v>1.4407382971547047</v>
      </c>
      <c r="H44" s="49">
        <f t="shared" si="1"/>
        <v>1.4407382971547049</v>
      </c>
      <c r="I44" s="50" t="str">
        <f t="shared" si="2"/>
        <v>N</v>
      </c>
      <c r="J44" s="49">
        <f t="shared" si="3"/>
        <v>1.8836578850844787</v>
      </c>
      <c r="K44" s="50" t="str">
        <f t="shared" si="4"/>
        <v>W</v>
      </c>
      <c r="L44" s="47">
        <f t="shared" si="5"/>
        <v>2.3714750407561049</v>
      </c>
      <c r="M44" s="47">
        <f t="shared" si="6"/>
        <v>307.41099969557246</v>
      </c>
      <c r="N44" s="47">
        <f t="shared" si="7"/>
        <v>0.13932019713654331</v>
      </c>
      <c r="O44" s="47">
        <f t="shared" si="8"/>
        <v>6.8965517241379365E-2</v>
      </c>
      <c r="P44" s="47">
        <f t="shared" si="9"/>
        <v>12.965517241379278</v>
      </c>
      <c r="S44" s="15">
        <f t="shared" si="10"/>
        <v>2.0201428584798783E-2</v>
      </c>
      <c r="T44" s="15">
        <f t="shared" si="11"/>
        <v>1</v>
      </c>
      <c r="U44" s="15">
        <f t="shared" si="12"/>
        <v>1.4407382971547049</v>
      </c>
      <c r="V44" s="15">
        <f t="shared" si="13"/>
        <v>-1.8836578850844787</v>
      </c>
      <c r="W44" s="15">
        <f t="shared" ref="W44:W59" si="21">DEGREES(ATAN(V44/U44))</f>
        <v>-52.589000304427536</v>
      </c>
    </row>
    <row r="45" spans="1:23" x14ac:dyDescent="0.2">
      <c r="A45" s="48">
        <f t="shared" si="16"/>
        <v>35</v>
      </c>
      <c r="B45" s="51">
        <v>496.33</v>
      </c>
      <c r="C45" s="51">
        <v>0.52</v>
      </c>
      <c r="D45" s="51">
        <v>320.62</v>
      </c>
      <c r="E45" s="14">
        <f t="shared" si="15"/>
        <v>14.329999999999984</v>
      </c>
      <c r="F45" s="47">
        <f t="shared" si="18"/>
        <v>496.32103815798013</v>
      </c>
      <c r="G45" s="47">
        <f t="shared" si="0"/>
        <v>1.5437309308271834</v>
      </c>
      <c r="H45" s="49">
        <f t="shared" si="1"/>
        <v>1.5437309308271836</v>
      </c>
      <c r="I45" s="50" t="str">
        <f t="shared" si="2"/>
        <v>N</v>
      </c>
      <c r="J45" s="49">
        <f t="shared" si="3"/>
        <v>1.9670989927905866</v>
      </c>
      <c r="K45" s="50" t="str">
        <f t="shared" si="4"/>
        <v>W</v>
      </c>
      <c r="L45" s="47">
        <f t="shared" si="5"/>
        <v>2.5005166734557687</v>
      </c>
      <c r="M45" s="47">
        <f t="shared" si="6"/>
        <v>308.12395122853167</v>
      </c>
      <c r="N45" s="47">
        <f t="shared" si="7"/>
        <v>0.14709965931987481</v>
      </c>
      <c r="O45" s="47">
        <f t="shared" si="8"/>
        <v>-0.13956734124214962</v>
      </c>
      <c r="P45" s="47">
        <f t="shared" si="9"/>
        <v>-5.0244242847171749</v>
      </c>
      <c r="S45" s="15">
        <f t="shared" si="10"/>
        <v>2.1079381180538037E-2</v>
      </c>
      <c r="T45" s="15">
        <f t="shared" si="11"/>
        <v>1</v>
      </c>
      <c r="U45" s="15">
        <f t="shared" si="12"/>
        <v>1.5437309308271836</v>
      </c>
      <c r="V45" s="15">
        <f t="shared" si="13"/>
        <v>-1.9670989927905866</v>
      </c>
      <c r="W45" s="15">
        <f t="shared" si="21"/>
        <v>-51.876048771468355</v>
      </c>
    </row>
    <row r="46" spans="1:23" x14ac:dyDescent="0.2">
      <c r="A46" s="48">
        <f t="shared" si="16"/>
        <v>36</v>
      </c>
      <c r="B46" s="51">
        <v>510.67</v>
      </c>
      <c r="C46" s="51">
        <v>0.5</v>
      </c>
      <c r="D46" s="51">
        <v>319.86</v>
      </c>
      <c r="E46" s="14">
        <f t="shared" si="15"/>
        <v>14.340000000000032</v>
      </c>
      <c r="F46" s="47">
        <f t="shared" si="18"/>
        <v>510.66046985712427</v>
      </c>
      <c r="G46" s="47">
        <f t="shared" si="0"/>
        <v>1.6418610530579898</v>
      </c>
      <c r="H46" s="49">
        <f t="shared" si="1"/>
        <v>1.64186105305799</v>
      </c>
      <c r="I46" s="50" t="str">
        <f t="shared" si="2"/>
        <v>N</v>
      </c>
      <c r="J46" s="49">
        <f t="shared" si="3"/>
        <v>2.0487203399631424</v>
      </c>
      <c r="K46" s="50" t="str">
        <f t="shared" si="4"/>
        <v>W</v>
      </c>
      <c r="L46" s="47">
        <f t="shared" si="5"/>
        <v>2.6254452477489196</v>
      </c>
      <c r="M46" s="47">
        <f t="shared" si="6"/>
        <v>308.70896811643206</v>
      </c>
      <c r="N46" s="47">
        <f t="shared" si="7"/>
        <v>0.14722913848113078</v>
      </c>
      <c r="O46" s="47">
        <f t="shared" si="8"/>
        <v>-0.1394700139470012</v>
      </c>
      <c r="P46" s="47">
        <f t="shared" si="9"/>
        <v>-5.2998605299859785</v>
      </c>
      <c r="S46" s="15">
        <f t="shared" si="10"/>
        <v>2.1112658458194204E-2</v>
      </c>
      <c r="T46" s="15">
        <f t="shared" si="11"/>
        <v>1</v>
      </c>
      <c r="U46" s="15">
        <f t="shared" si="12"/>
        <v>1.64186105305799</v>
      </c>
      <c r="V46" s="15">
        <f t="shared" si="13"/>
        <v>-2.0487203399631424</v>
      </c>
      <c r="W46" s="15">
        <f t="shared" si="21"/>
        <v>-51.291031883567911</v>
      </c>
    </row>
    <row r="47" spans="1:23" x14ac:dyDescent="0.2">
      <c r="A47" s="48">
        <f t="shared" si="16"/>
        <v>37</v>
      </c>
      <c r="B47" s="51">
        <v>525</v>
      </c>
      <c r="C47" s="51">
        <v>0.48</v>
      </c>
      <c r="D47" s="51">
        <v>319.04000000000002</v>
      </c>
      <c r="E47" s="14">
        <f t="shared" si="15"/>
        <v>14.329999999999984</v>
      </c>
      <c r="F47" s="47">
        <f t="shared" si="18"/>
        <v>524.98994560369431</v>
      </c>
      <c r="G47" s="47">
        <f t="shared" si="0"/>
        <v>1.7349887830409243</v>
      </c>
      <c r="H47" s="49">
        <f t="shared" si="1"/>
        <v>1.7349887830409256</v>
      </c>
      <c r="I47" s="50" t="str">
        <f t="shared" si="2"/>
        <v>N</v>
      </c>
      <c r="J47" s="49">
        <f t="shared" si="3"/>
        <v>2.1283760388920112</v>
      </c>
      <c r="K47" s="50" t="str">
        <f t="shared" si="4"/>
        <v>W</v>
      </c>
      <c r="L47" s="47">
        <f t="shared" si="5"/>
        <v>2.7459371151225369</v>
      </c>
      <c r="M47" s="47">
        <f t="shared" si="6"/>
        <v>309.18589422607954</v>
      </c>
      <c r="N47" s="47">
        <f t="shared" si="7"/>
        <v>0.14789461662431472</v>
      </c>
      <c r="O47" s="47">
        <f t="shared" si="8"/>
        <v>-0.13956734124214962</v>
      </c>
      <c r="P47" s="47">
        <f t="shared" si="9"/>
        <v>-5.7222609909280813</v>
      </c>
      <c r="S47" s="15">
        <f t="shared" si="10"/>
        <v>2.1193298562264276E-2</v>
      </c>
      <c r="T47" s="15">
        <f t="shared" si="11"/>
        <v>1</v>
      </c>
      <c r="U47" s="15">
        <f t="shared" si="12"/>
        <v>1.7349887830409256</v>
      </c>
      <c r="V47" s="15">
        <f t="shared" si="13"/>
        <v>-2.1283760388920112</v>
      </c>
      <c r="W47" s="15">
        <f t="shared" si="21"/>
        <v>-50.814105773920446</v>
      </c>
    </row>
    <row r="48" spans="1:23" x14ac:dyDescent="0.2">
      <c r="A48" s="48">
        <f t="shared" si="16"/>
        <v>38</v>
      </c>
      <c r="B48" s="51">
        <v>539.33000000000004</v>
      </c>
      <c r="C48" s="51">
        <v>0.47</v>
      </c>
      <c r="D48" s="51">
        <v>318.16000000000003</v>
      </c>
      <c r="E48" s="14">
        <f t="shared" si="15"/>
        <v>14.330000000000041</v>
      </c>
      <c r="F48" s="47">
        <f t="shared" si="18"/>
        <v>539.31945310647927</v>
      </c>
      <c r="G48" s="47">
        <f t="shared" si="0"/>
        <v>1.8241048290632562</v>
      </c>
      <c r="H48" s="49">
        <f t="shared" si="1"/>
        <v>1.824104829063256</v>
      </c>
      <c r="I48" s="50" t="str">
        <f t="shared" si="2"/>
        <v>N</v>
      </c>
      <c r="J48" s="49">
        <f t="shared" si="3"/>
        <v>2.206929599913265</v>
      </c>
      <c r="K48" s="50" t="str">
        <f t="shared" si="4"/>
        <v>W</v>
      </c>
      <c r="L48" s="47">
        <f t="shared" si="5"/>
        <v>2.8631969346143853</v>
      </c>
      <c r="M48" s="47">
        <f t="shared" si="6"/>
        <v>309.57492719222626</v>
      </c>
      <c r="N48" s="47">
        <f t="shared" si="7"/>
        <v>8.6378488944885645E-2</v>
      </c>
      <c r="O48" s="47">
        <f t="shared" si="8"/>
        <v>-6.9783670621074531E-2</v>
      </c>
      <c r="P48" s="47">
        <f t="shared" si="9"/>
        <v>-6.1409630146545213</v>
      </c>
      <c r="S48" s="15">
        <f t="shared" si="10"/>
        <v>1.2378037465802148E-2</v>
      </c>
      <c r="T48" s="15">
        <f t="shared" si="11"/>
        <v>1</v>
      </c>
      <c r="U48" s="15">
        <f t="shared" si="12"/>
        <v>1.824104829063256</v>
      </c>
      <c r="V48" s="15">
        <f t="shared" si="13"/>
        <v>-2.206929599913265</v>
      </c>
      <c r="W48" s="15">
        <f t="shared" si="21"/>
        <v>-50.425072807773759</v>
      </c>
    </row>
    <row r="49" spans="1:23" x14ac:dyDescent="0.2">
      <c r="A49" s="48">
        <f t="shared" si="16"/>
        <v>39</v>
      </c>
      <c r="B49" s="51">
        <v>553.66999999999996</v>
      </c>
      <c r="C49" s="51">
        <v>0.45</v>
      </c>
      <c r="D49" s="51">
        <v>317.20999999999998</v>
      </c>
      <c r="E49" s="14">
        <f t="shared" si="15"/>
        <v>14.339999999999918</v>
      </c>
      <c r="F49" s="47">
        <f t="shared" si="18"/>
        <v>553.65899073353796</v>
      </c>
      <c r="G49" s="47">
        <f t="shared" si="0"/>
        <v>1.9092475809503129</v>
      </c>
      <c r="H49" s="49">
        <f t="shared" si="1"/>
        <v>1.9092475809503142</v>
      </c>
      <c r="I49" s="50" t="str">
        <f t="shared" si="2"/>
        <v>N</v>
      </c>
      <c r="J49" s="49">
        <f t="shared" si="3"/>
        <v>2.2844162402806654</v>
      </c>
      <c r="K49" s="50" t="str">
        <f t="shared" si="4"/>
        <v>W</v>
      </c>
      <c r="L49" s="47">
        <f t="shared" si="5"/>
        <v>2.9772107557616199</v>
      </c>
      <c r="M49" s="47">
        <f t="shared" si="6"/>
        <v>309.88788068564554</v>
      </c>
      <c r="N49" s="47">
        <f t="shared" si="7"/>
        <v>0.14926263270025208</v>
      </c>
      <c r="O49" s="47">
        <f t="shared" si="8"/>
        <v>-0.13947001394700193</v>
      </c>
      <c r="P49" s="47">
        <f t="shared" si="9"/>
        <v>-6.6248256624829214</v>
      </c>
      <c r="S49" s="15">
        <f t="shared" si="10"/>
        <v>2.1404261529216026E-2</v>
      </c>
      <c r="T49" s="15">
        <f t="shared" si="11"/>
        <v>1</v>
      </c>
      <c r="U49" s="15">
        <f t="shared" si="12"/>
        <v>1.9092475809503142</v>
      </c>
      <c r="V49" s="15">
        <f t="shared" si="13"/>
        <v>-2.2844162402806654</v>
      </c>
      <c r="W49" s="15">
        <f t="shared" si="21"/>
        <v>-50.112119314354452</v>
      </c>
    </row>
    <row r="50" spans="1:23" x14ac:dyDescent="0.2">
      <c r="A50" s="48">
        <f t="shared" si="16"/>
        <v>40</v>
      </c>
      <c r="B50" s="51">
        <v>568</v>
      </c>
      <c r="C50" s="51">
        <v>0.43</v>
      </c>
      <c r="D50" s="51">
        <v>316.18</v>
      </c>
      <c r="E50" s="14">
        <f t="shared" si="15"/>
        <v>14.330000000000041</v>
      </c>
      <c r="F50" s="47">
        <f t="shared" si="18"/>
        <v>567.98856796913651</v>
      </c>
      <c r="G50" s="47">
        <f t="shared" si="0"/>
        <v>1.9893412343339711</v>
      </c>
      <c r="H50" s="49">
        <f t="shared" si="1"/>
        <v>1.9893412343339707</v>
      </c>
      <c r="I50" s="50" t="str">
        <f t="shared" si="2"/>
        <v>N</v>
      </c>
      <c r="J50" s="49">
        <f t="shared" si="3"/>
        <v>2.3598749876774536</v>
      </c>
      <c r="K50" s="50" t="str">
        <f t="shared" si="4"/>
        <v>W</v>
      </c>
      <c r="L50" s="47">
        <f t="shared" si="5"/>
        <v>3.0865010131355972</v>
      </c>
      <c r="M50" s="47">
        <f t="shared" si="6"/>
        <v>310.13041494551902</v>
      </c>
      <c r="N50" s="47">
        <f t="shared" si="7"/>
        <v>0.1500803604633561</v>
      </c>
      <c r="O50" s="47">
        <f t="shared" si="8"/>
        <v>-0.13956734124214906</v>
      </c>
      <c r="P50" s="47">
        <f t="shared" si="9"/>
        <v>-7.1877180739704798</v>
      </c>
      <c r="S50" s="15">
        <f t="shared" si="10"/>
        <v>2.1506515654398994E-2</v>
      </c>
      <c r="T50" s="15">
        <f t="shared" si="11"/>
        <v>1</v>
      </c>
      <c r="U50" s="15">
        <f t="shared" si="12"/>
        <v>1.9893412343339707</v>
      </c>
      <c r="V50" s="15">
        <f t="shared" si="13"/>
        <v>-2.3598749876774536</v>
      </c>
      <c r="W50" s="15">
        <f t="shared" si="21"/>
        <v>-49.869585054481</v>
      </c>
    </row>
    <row r="51" spans="1:23" x14ac:dyDescent="0.2">
      <c r="A51" s="48">
        <f t="shared" si="16"/>
        <v>41</v>
      </c>
      <c r="B51" s="51">
        <v>582</v>
      </c>
      <c r="C51" s="51">
        <v>0.37</v>
      </c>
      <c r="D51" s="51">
        <v>318.57</v>
      </c>
      <c r="E51" s="14">
        <f t="shared" si="15"/>
        <v>14</v>
      </c>
      <c r="F51" s="47">
        <f t="shared" si="18"/>
        <v>581.98822487996915</v>
      </c>
      <c r="G51" s="47">
        <f t="shared" si="0"/>
        <v>2.0611375806618231</v>
      </c>
      <c r="H51" s="49">
        <f t="shared" si="1"/>
        <v>2.0611375806618231</v>
      </c>
      <c r="I51" s="50" t="str">
        <f t="shared" si="2"/>
        <v>N</v>
      </c>
      <c r="J51" s="49">
        <f t="shared" si="3"/>
        <v>2.4261607152749116</v>
      </c>
      <c r="K51" s="50" t="str">
        <f t="shared" si="4"/>
        <v>W</v>
      </c>
      <c r="L51" s="47">
        <f t="shared" si="5"/>
        <v>3.183479848021618</v>
      </c>
      <c r="M51" s="47">
        <f t="shared" si="6"/>
        <v>310.34946531850653</v>
      </c>
      <c r="N51" s="47">
        <f t="shared" si="7"/>
        <v>0.44474196902197438</v>
      </c>
      <c r="O51" s="47">
        <f t="shared" si="8"/>
        <v>-0.4285714285714286</v>
      </c>
      <c r="P51" s="47">
        <f t="shared" si="9"/>
        <v>17.071428571428473</v>
      </c>
      <c r="S51" s="15">
        <f t="shared" si="10"/>
        <v>6.2263875663076416E-2</v>
      </c>
      <c r="T51" s="15">
        <f t="shared" si="11"/>
        <v>1</v>
      </c>
      <c r="U51" s="15">
        <f t="shared" si="12"/>
        <v>2.0611375806618231</v>
      </c>
      <c r="V51" s="15">
        <f t="shared" si="13"/>
        <v>-2.4261607152749116</v>
      </c>
      <c r="W51" s="15">
        <f t="shared" si="21"/>
        <v>-49.650534681493475</v>
      </c>
    </row>
    <row r="52" spans="1:23" x14ac:dyDescent="0.2">
      <c r="A52" s="48">
        <f t="shared" si="16"/>
        <v>42</v>
      </c>
      <c r="B52" s="197">
        <v>596</v>
      </c>
      <c r="C52" s="193">
        <v>0.32</v>
      </c>
      <c r="D52" s="193">
        <v>321.83999999999997</v>
      </c>
      <c r="E52" s="14">
        <f t="shared" si="15"/>
        <v>14</v>
      </c>
      <c r="F52" s="47">
        <f t="shared" si="18"/>
        <v>595.98796974844026</v>
      </c>
      <c r="G52" s="47">
        <f t="shared" si="0"/>
        <v>2.1257698110174705</v>
      </c>
      <c r="H52" s="49">
        <f t="shared" si="1"/>
        <v>2.125769811017471</v>
      </c>
      <c r="I52" s="50" t="str">
        <f t="shared" si="2"/>
        <v>N</v>
      </c>
      <c r="J52" s="49">
        <f t="shared" si="3"/>
        <v>2.4802275451617257</v>
      </c>
      <c r="K52" s="50" t="str">
        <f t="shared" si="4"/>
        <v>W</v>
      </c>
      <c r="L52" s="47">
        <f t="shared" si="5"/>
        <v>3.2665617957130726</v>
      </c>
      <c r="M52" s="47">
        <f t="shared" si="6"/>
        <v>310.5994366853659</v>
      </c>
      <c r="N52" s="47">
        <f t="shared" si="7"/>
        <v>0.38369500145710062</v>
      </c>
      <c r="O52" s="47">
        <f t="shared" si="8"/>
        <v>-0.3571428571428571</v>
      </c>
      <c r="P52" s="47">
        <f t="shared" si="9"/>
        <v>23.35714285714273</v>
      </c>
      <c r="S52" s="15">
        <f t="shared" si="10"/>
        <v>5.3717300203994088E-2</v>
      </c>
      <c r="T52" s="15">
        <f t="shared" si="11"/>
        <v>1</v>
      </c>
      <c r="U52" s="15">
        <f t="shared" si="12"/>
        <v>2.125769811017471</v>
      </c>
      <c r="V52" s="15">
        <f t="shared" si="13"/>
        <v>-2.4802275451617257</v>
      </c>
      <c r="W52" s="15">
        <f t="shared" si="21"/>
        <v>-49.400563314634113</v>
      </c>
    </row>
    <row r="53" spans="1:23" x14ac:dyDescent="0.2">
      <c r="A53" s="48">
        <f t="shared" si="16"/>
        <v>43</v>
      </c>
      <c r="B53" s="197">
        <v>610</v>
      </c>
      <c r="C53" s="193">
        <v>0.26</v>
      </c>
      <c r="D53" s="193">
        <v>326.58</v>
      </c>
      <c r="E53" s="14">
        <f t="shared" si="15"/>
        <v>14</v>
      </c>
      <c r="F53" s="47">
        <f t="shared" si="18"/>
        <v>609.98778850148301</v>
      </c>
      <c r="G53" s="47">
        <f t="shared" si="0"/>
        <v>2.1830226321511592</v>
      </c>
      <c r="H53" s="49">
        <f t="shared" si="1"/>
        <v>2.1830226321511601</v>
      </c>
      <c r="I53" s="50" t="str">
        <f t="shared" si="2"/>
        <v>N</v>
      </c>
      <c r="J53" s="49">
        <f t="shared" si="3"/>
        <v>2.5218780852676952</v>
      </c>
      <c r="K53" s="50" t="str">
        <f t="shared" si="4"/>
        <v>W</v>
      </c>
      <c r="L53" s="47">
        <f t="shared" si="5"/>
        <v>3.3354845059507676</v>
      </c>
      <c r="M53" s="47">
        <f t="shared" si="6"/>
        <v>310.88056727212484</v>
      </c>
      <c r="N53" s="47">
        <f t="shared" si="7"/>
        <v>0.4612036809007713</v>
      </c>
      <c r="O53" s="47">
        <f t="shared" si="8"/>
        <v>-0.4285714285714286</v>
      </c>
      <c r="P53" s="47">
        <f t="shared" si="9"/>
        <v>33.857142857142925</v>
      </c>
      <c r="S53" s="15">
        <f t="shared" si="10"/>
        <v>6.4568515326107981E-2</v>
      </c>
      <c r="T53" s="15">
        <f t="shared" si="11"/>
        <v>1</v>
      </c>
      <c r="U53" s="15">
        <f t="shared" si="12"/>
        <v>2.1830226321511601</v>
      </c>
      <c r="V53" s="15">
        <f t="shared" si="13"/>
        <v>-2.5218780852676952</v>
      </c>
      <c r="W53" s="15">
        <f t="shared" si="21"/>
        <v>-49.119432727875164</v>
      </c>
    </row>
    <row r="54" spans="1:23" x14ac:dyDescent="0.2">
      <c r="A54" s="48">
        <f t="shared" si="16"/>
        <v>44</v>
      </c>
      <c r="B54" s="196">
        <v>624</v>
      </c>
      <c r="C54" s="51">
        <v>0.2</v>
      </c>
      <c r="D54" s="51">
        <v>333.89</v>
      </c>
      <c r="E54" s="14">
        <f t="shared" si="15"/>
        <v>14</v>
      </c>
      <c r="F54" s="47">
        <f t="shared" si="18"/>
        <v>623.98767378272964</v>
      </c>
      <c r="G54" s="47">
        <f t="shared" si="0"/>
        <v>2.2314764038755537</v>
      </c>
      <c r="H54" s="49">
        <f t="shared" si="1"/>
        <v>2.2314764038755559</v>
      </c>
      <c r="I54" s="50" t="str">
        <f t="shared" si="2"/>
        <v>N</v>
      </c>
      <c r="J54" s="49">
        <f t="shared" si="3"/>
        <v>2.5501268471280079</v>
      </c>
      <c r="K54" s="50" t="str">
        <f t="shared" si="4"/>
        <v>W</v>
      </c>
      <c r="L54" s="47">
        <f t="shared" si="5"/>
        <v>3.3886035291099517</v>
      </c>
      <c r="M54" s="47">
        <f t="shared" si="6"/>
        <v>311.18739377411271</v>
      </c>
      <c r="N54" s="47">
        <f t="shared" si="7"/>
        <v>0.47623531636793953</v>
      </c>
      <c r="O54" s="47">
        <f t="shared" si="8"/>
        <v>-0.4285714285714286</v>
      </c>
      <c r="P54" s="47">
        <f t="shared" si="9"/>
        <v>52.214285714285737</v>
      </c>
      <c r="S54" s="15">
        <f t="shared" si="10"/>
        <v>6.6672944291511535E-2</v>
      </c>
      <c r="T54" s="15">
        <f t="shared" si="11"/>
        <v>1</v>
      </c>
      <c r="U54" s="15">
        <f t="shared" si="12"/>
        <v>2.2314764038755559</v>
      </c>
      <c r="V54" s="15">
        <f t="shared" si="13"/>
        <v>-2.5501268471280079</v>
      </c>
      <c r="W54" s="15">
        <f t="shared" si="21"/>
        <v>-48.812606225887272</v>
      </c>
    </row>
    <row r="55" spans="1:23" x14ac:dyDescent="0.2">
      <c r="A55" s="48">
        <f t="shared" si="16"/>
        <v>45</v>
      </c>
      <c r="B55" s="196">
        <v>638</v>
      </c>
      <c r="C55" s="51">
        <v>0.16</v>
      </c>
      <c r="D55" s="51">
        <v>346.05</v>
      </c>
      <c r="E55" s="14">
        <f t="shared" si="15"/>
        <v>14</v>
      </c>
      <c r="F55" s="47">
        <f t="shared" si="18"/>
        <v>637.98760384263107</v>
      </c>
      <c r="G55" s="47">
        <f t="shared" si="0"/>
        <v>2.272388568680944</v>
      </c>
      <c r="H55" s="49">
        <f t="shared" si="1"/>
        <v>2.2723885686809462</v>
      </c>
      <c r="I55" s="50" t="str">
        <f t="shared" si="2"/>
        <v>N</v>
      </c>
      <c r="J55" s="49">
        <f t="shared" si="3"/>
        <v>2.5655928505832888</v>
      </c>
      <c r="K55" s="50" t="str">
        <f t="shared" si="4"/>
        <v>W</v>
      </c>
      <c r="L55" s="47">
        <f t="shared" si="5"/>
        <v>3.4272461951304174</v>
      </c>
      <c r="M55" s="47">
        <f t="shared" si="6"/>
        <v>311.53184995401193</v>
      </c>
      <c r="N55" s="47">
        <f t="shared" si="7"/>
        <v>0.39356762473805951</v>
      </c>
      <c r="O55" s="47">
        <f t="shared" si="8"/>
        <v>-0.28571428571428581</v>
      </c>
      <c r="P55" s="47">
        <f t="shared" si="9"/>
        <v>86.857142857143046</v>
      </c>
      <c r="S55" s="15">
        <f t="shared" si="10"/>
        <v>5.5099467463328333E-2</v>
      </c>
      <c r="T55" s="15">
        <f t="shared" si="11"/>
        <v>1</v>
      </c>
      <c r="U55" s="15">
        <f t="shared" si="12"/>
        <v>2.2723885686809462</v>
      </c>
      <c r="V55" s="15">
        <f t="shared" si="13"/>
        <v>-2.5655928505832888</v>
      </c>
      <c r="W55" s="15">
        <f t="shared" si="21"/>
        <v>-48.46815004598804</v>
      </c>
    </row>
    <row r="56" spans="1:23" x14ac:dyDescent="0.2">
      <c r="A56" s="48">
        <f t="shared" si="16"/>
        <v>46</v>
      </c>
      <c r="B56" s="196">
        <v>652</v>
      </c>
      <c r="C56" s="51">
        <v>0.12</v>
      </c>
      <c r="D56" s="51">
        <v>7.05</v>
      </c>
      <c r="E56" s="14">
        <f t="shared" si="15"/>
        <v>14</v>
      </c>
      <c r="F56" s="47">
        <f t="shared" si="18"/>
        <v>651.98756119621567</v>
      </c>
      <c r="G56" s="47">
        <f t="shared" si="0"/>
        <v>2.305909612629395</v>
      </c>
      <c r="H56" s="49">
        <f t="shared" si="1"/>
        <v>2.3059096126293945</v>
      </c>
      <c r="I56" s="50" t="str">
        <f t="shared" si="2"/>
        <v>N</v>
      </c>
      <c r="J56" s="49">
        <f t="shared" si="3"/>
        <v>2.5685059099793213</v>
      </c>
      <c r="K56" s="50" t="str">
        <f t="shared" si="4"/>
        <v>W</v>
      </c>
      <c r="L56" s="47">
        <f t="shared" si="5"/>
        <v>3.4517302547005824</v>
      </c>
      <c r="M56" s="47">
        <f t="shared" si="6"/>
        <v>311.91632167038745</v>
      </c>
      <c r="N56" s="47">
        <f t="shared" si="7"/>
        <v>0.4601744797376619</v>
      </c>
      <c r="O56" s="47">
        <f t="shared" si="8"/>
        <v>-0.28571428571428581</v>
      </c>
      <c r="P56" s="47">
        <f t="shared" si="9"/>
        <v>-2421.4285714285716</v>
      </c>
      <c r="S56" s="15">
        <f t="shared" si="10"/>
        <v>6.4424427163272666E-2</v>
      </c>
      <c r="T56" s="15">
        <f t="shared" si="11"/>
        <v>1</v>
      </c>
      <c r="U56" s="15">
        <f t="shared" si="12"/>
        <v>2.3059096126293945</v>
      </c>
      <c r="V56" s="15">
        <f t="shared" si="13"/>
        <v>-2.5685059099793213</v>
      </c>
      <c r="W56" s="15">
        <f t="shared" si="21"/>
        <v>-48.083678329612553</v>
      </c>
    </row>
    <row r="57" spans="1:23" x14ac:dyDescent="0.2">
      <c r="A57" s="48">
        <f t="shared" si="16"/>
        <v>47</v>
      </c>
      <c r="B57" s="196">
        <v>666.33</v>
      </c>
      <c r="C57" s="51">
        <v>0.16</v>
      </c>
      <c r="D57" s="51">
        <v>351.1</v>
      </c>
      <c r="E57" s="14">
        <f t="shared" si="15"/>
        <v>14.330000000000041</v>
      </c>
      <c r="F57" s="47">
        <f t="shared" si="18"/>
        <v>666.31751754456332</v>
      </c>
      <c r="G57" s="47">
        <f t="shared" si="0"/>
        <v>2.3405700104235416</v>
      </c>
      <c r="H57" s="49">
        <f t="shared" si="1"/>
        <v>2.340570010423543</v>
      </c>
      <c r="I57" s="50" t="str">
        <f t="shared" si="2"/>
        <v>N</v>
      </c>
      <c r="J57" s="49">
        <f t="shared" si="3"/>
        <v>2.569759612928058</v>
      </c>
      <c r="K57" s="50" t="str">
        <f t="shared" si="4"/>
        <v>W</v>
      </c>
      <c r="L57" s="47">
        <f t="shared" si="5"/>
        <v>3.4759074271232002</v>
      </c>
      <c r="M57" s="47">
        <f t="shared" si="6"/>
        <v>312.32765935996099</v>
      </c>
      <c r="N57" s="47">
        <f t="shared" si="7"/>
        <v>0.38717835755906349</v>
      </c>
      <c r="O57" s="47">
        <f t="shared" si="8"/>
        <v>0.2791346824842979</v>
      </c>
      <c r="P57" s="47">
        <f t="shared" si="9"/>
        <v>2400.9071877180672</v>
      </c>
      <c r="S57" s="15">
        <f t="shared" si="10"/>
        <v>5.5482658638213958E-2</v>
      </c>
      <c r="T57" s="15">
        <f t="shared" si="11"/>
        <v>1</v>
      </c>
      <c r="U57" s="15">
        <f t="shared" si="12"/>
        <v>2.340570010423543</v>
      </c>
      <c r="V57" s="15">
        <f t="shared" si="13"/>
        <v>-2.569759612928058</v>
      </c>
      <c r="W57" s="15">
        <f t="shared" si="21"/>
        <v>-47.672340640039003</v>
      </c>
    </row>
    <row r="58" spans="1:23" x14ac:dyDescent="0.2">
      <c r="A58" s="48">
        <f t="shared" si="16"/>
        <v>48</v>
      </c>
      <c r="B58" s="196">
        <v>680.67</v>
      </c>
      <c r="C58" s="51">
        <v>0.21</v>
      </c>
      <c r="D58" s="51">
        <v>342.23</v>
      </c>
      <c r="E58" s="14">
        <f t="shared" si="15"/>
        <v>14.339999999999918</v>
      </c>
      <c r="F58" s="47">
        <f t="shared" si="18"/>
        <v>680.65744142850986</v>
      </c>
      <c r="G58" s="47">
        <f t="shared" si="0"/>
        <v>2.3853768868015801</v>
      </c>
      <c r="H58" s="49">
        <f t="shared" si="1"/>
        <v>2.385376886801581</v>
      </c>
      <c r="I58" s="50" t="str">
        <f t="shared" si="2"/>
        <v>N</v>
      </c>
      <c r="J58" s="49">
        <f t="shared" si="3"/>
        <v>2.5808776606505064</v>
      </c>
      <c r="K58" s="50" t="str">
        <f t="shared" si="4"/>
        <v>W</v>
      </c>
      <c r="L58" s="47">
        <f t="shared" si="5"/>
        <v>3.5143921795001809</v>
      </c>
      <c r="M58" s="47">
        <f t="shared" si="6"/>
        <v>312.74566761307875</v>
      </c>
      <c r="N58" s="47">
        <f t="shared" si="7"/>
        <v>0.40081919068770294</v>
      </c>
      <c r="O58" s="47">
        <f t="shared" si="8"/>
        <v>0.3486750348675054</v>
      </c>
      <c r="P58" s="47">
        <f t="shared" si="9"/>
        <v>-61.854951185495501</v>
      </c>
      <c r="S58" s="15">
        <f t="shared" si="10"/>
        <v>5.7477471944616276E-2</v>
      </c>
      <c r="T58" s="15">
        <f t="shared" si="11"/>
        <v>1</v>
      </c>
      <c r="U58" s="15">
        <f t="shared" si="12"/>
        <v>2.385376886801581</v>
      </c>
      <c r="V58" s="15">
        <f t="shared" si="13"/>
        <v>-2.5808776606505064</v>
      </c>
      <c r="W58" s="15">
        <f t="shared" si="21"/>
        <v>-47.254332386921227</v>
      </c>
    </row>
    <row r="59" spans="1:23" x14ac:dyDescent="0.2">
      <c r="A59" s="48">
        <f t="shared" si="16"/>
        <v>49</v>
      </c>
      <c r="B59" s="196">
        <v>695</v>
      </c>
      <c r="C59" s="51">
        <v>0.27</v>
      </c>
      <c r="D59" s="51">
        <v>336.82</v>
      </c>
      <c r="E59" s="14">
        <f t="shared" si="15"/>
        <v>14.330000000000041</v>
      </c>
      <c r="F59" s="47">
        <f t="shared" si="18"/>
        <v>694.98731374755789</v>
      </c>
      <c r="G59" s="47">
        <f t="shared" si="0"/>
        <v>2.441423449984458</v>
      </c>
      <c r="H59" s="49">
        <f t="shared" si="1"/>
        <v>2.4414234499844589</v>
      </c>
      <c r="I59" s="50" t="str">
        <f t="shared" si="2"/>
        <v>N</v>
      </c>
      <c r="J59" s="49">
        <f t="shared" si="3"/>
        <v>2.6021827204439267</v>
      </c>
      <c r="K59" s="50" t="str">
        <f t="shared" si="4"/>
        <v>W</v>
      </c>
      <c r="L59" s="47">
        <f t="shared" si="5"/>
        <v>3.5681792797883594</v>
      </c>
      <c r="M59" s="47">
        <f t="shared" si="6"/>
        <v>313.17437958560328</v>
      </c>
      <c r="N59" s="47">
        <f t="shared" si="7"/>
        <v>0.44711322069189213</v>
      </c>
      <c r="O59" s="47">
        <f t="shared" si="8"/>
        <v>0.41870202372644699</v>
      </c>
      <c r="P59" s="47">
        <f t="shared" si="9"/>
        <v>-37.752965806001463</v>
      </c>
      <c r="S59" s="15">
        <f t="shared" si="10"/>
        <v>6.4071324525148327E-2</v>
      </c>
      <c r="T59" s="15">
        <f t="shared" si="11"/>
        <v>1</v>
      </c>
      <c r="U59" s="15">
        <f t="shared" si="12"/>
        <v>2.4414234499844589</v>
      </c>
      <c r="V59" s="15">
        <f t="shared" si="13"/>
        <v>-2.6021827204439267</v>
      </c>
      <c r="W59" s="15">
        <f t="shared" si="21"/>
        <v>-46.825620414396724</v>
      </c>
    </row>
    <row r="60" spans="1:23" x14ac:dyDescent="0.2">
      <c r="A60" s="48">
        <f t="shared" si="16"/>
        <v>50</v>
      </c>
      <c r="B60" s="196">
        <v>709.33</v>
      </c>
      <c r="C60" s="51">
        <v>0.32</v>
      </c>
      <c r="D60" s="51">
        <v>333.24</v>
      </c>
      <c r="E60" s="14">
        <f t="shared" si="15"/>
        <v>14.330000000000041</v>
      </c>
      <c r="F60" s="47">
        <f t="shared" si="18"/>
        <v>709.31712244452444</v>
      </c>
      <c r="G60" s="47">
        <f t="shared" si="0"/>
        <v>2.5081928345284501</v>
      </c>
      <c r="H60" s="49">
        <f t="shared" si="1"/>
        <v>2.5081928345284501</v>
      </c>
      <c r="I60" s="50" t="str">
        <f t="shared" si="2"/>
        <v>N</v>
      </c>
      <c r="J60" s="49">
        <f t="shared" si="3"/>
        <v>2.6334906886506131</v>
      </c>
      <c r="K60" s="50" t="str">
        <f t="shared" si="4"/>
        <v>W</v>
      </c>
      <c r="L60" s="47">
        <f t="shared" si="5"/>
        <v>3.6367986612389394</v>
      </c>
      <c r="M60" s="47">
        <f t="shared" si="6"/>
        <v>313.60403356080008</v>
      </c>
      <c r="N60" s="47">
        <f t="shared" si="7"/>
        <v>0.37170542165250214</v>
      </c>
      <c r="O60" s="47">
        <f t="shared" si="8"/>
        <v>0.34891835310537228</v>
      </c>
      <c r="P60" s="47">
        <f t="shared" si="9"/>
        <v>-24.982554082344549</v>
      </c>
      <c r="S60" s="15">
        <f t="shared" si="10"/>
        <v>5.3265386922803713E-2</v>
      </c>
      <c r="T60" s="15">
        <f t="shared" si="11"/>
        <v>1</v>
      </c>
      <c r="U60" s="15">
        <f t="shared" si="12"/>
        <v>2.5081928345284501</v>
      </c>
      <c r="V60" s="15">
        <f t="shared" si="13"/>
        <v>-2.6334906886506131</v>
      </c>
      <c r="W60" s="15">
        <f t="shared" ref="W60:W75" si="22">DEGREES(ATAN(V60/U60))</f>
        <v>-46.395966439199952</v>
      </c>
    </row>
    <row r="61" spans="1:23" x14ac:dyDescent="0.2">
      <c r="A61" s="48">
        <f t="shared" si="16"/>
        <v>51</v>
      </c>
      <c r="B61" s="196">
        <v>723.67</v>
      </c>
      <c r="C61" s="51">
        <v>0.38</v>
      </c>
      <c r="D61" s="51">
        <v>330.72</v>
      </c>
      <c r="E61" s="14">
        <f t="shared" si="15"/>
        <v>14.339999999999918</v>
      </c>
      <c r="F61" s="47">
        <f t="shared" si="18"/>
        <v>723.65685292660169</v>
      </c>
      <c r="G61" s="47">
        <f t="shared" si="0"/>
        <v>2.585426233031475</v>
      </c>
      <c r="H61" s="49">
        <f t="shared" si="1"/>
        <v>2.585426233031475</v>
      </c>
      <c r="I61" s="50" t="str">
        <f t="shared" si="2"/>
        <v>N</v>
      </c>
      <c r="J61" s="49">
        <f t="shared" si="3"/>
        <v>2.6747780273018447</v>
      </c>
      <c r="K61" s="50" t="str">
        <f t="shared" si="4"/>
        <v>W</v>
      </c>
      <c r="L61" s="47">
        <f t="shared" si="5"/>
        <v>3.7200626744430085</v>
      </c>
      <c r="M61" s="47">
        <f t="shared" si="6"/>
        <v>314.02684607875352</v>
      </c>
      <c r="N61" s="47">
        <f t="shared" si="7"/>
        <v>0.43186115572532874</v>
      </c>
      <c r="O61" s="47">
        <f t="shared" si="8"/>
        <v>0.41841004184100655</v>
      </c>
      <c r="P61" s="47">
        <f t="shared" si="9"/>
        <v>-17.573221757322148</v>
      </c>
      <c r="S61" s="15">
        <f t="shared" si="10"/>
        <v>6.1928889731011794E-2</v>
      </c>
      <c r="T61" s="15">
        <f t="shared" si="11"/>
        <v>1</v>
      </c>
      <c r="U61" s="15">
        <f t="shared" si="12"/>
        <v>2.585426233031475</v>
      </c>
      <c r="V61" s="15">
        <f t="shared" si="13"/>
        <v>-2.6747780273018447</v>
      </c>
      <c r="W61" s="15">
        <f t="shared" si="22"/>
        <v>-45.973153921246485</v>
      </c>
    </row>
    <row r="62" spans="1:23" x14ac:dyDescent="0.2">
      <c r="A62" s="48">
        <f t="shared" si="16"/>
        <v>52</v>
      </c>
      <c r="B62" s="196">
        <v>738</v>
      </c>
      <c r="C62" s="51">
        <v>0.44</v>
      </c>
      <c r="D62" s="51">
        <v>328.84</v>
      </c>
      <c r="E62" s="14">
        <f t="shared" si="15"/>
        <v>14.330000000000041</v>
      </c>
      <c r="F62" s="47">
        <f t="shared" si="18"/>
        <v>737.98648407155326</v>
      </c>
      <c r="G62" s="47">
        <f t="shared" si="0"/>
        <v>2.6739591920107491</v>
      </c>
      <c r="H62" s="49">
        <f t="shared" si="1"/>
        <v>2.6739591920107504</v>
      </c>
      <c r="I62" s="50" t="str">
        <f t="shared" si="2"/>
        <v>N</v>
      </c>
      <c r="J62" s="49">
        <f t="shared" si="3"/>
        <v>2.7264892683173203</v>
      </c>
      <c r="K62" s="50" t="str">
        <f t="shared" si="4"/>
        <v>W</v>
      </c>
      <c r="L62" s="47">
        <f t="shared" si="5"/>
        <v>3.8188743748372111</v>
      </c>
      <c r="M62" s="47">
        <f t="shared" si="6"/>
        <v>314.44270243932601</v>
      </c>
      <c r="N62" s="47">
        <f t="shared" si="7"/>
        <v>0.42904161684438485</v>
      </c>
      <c r="O62" s="47">
        <f t="shared" si="8"/>
        <v>0.41870202372644677</v>
      </c>
      <c r="P62" s="47">
        <f t="shared" si="9"/>
        <v>-13.119330076762365</v>
      </c>
      <c r="S62" s="15">
        <f t="shared" si="10"/>
        <v>6.148166369380053E-2</v>
      </c>
      <c r="T62" s="15">
        <f t="shared" si="11"/>
        <v>1</v>
      </c>
      <c r="U62" s="15">
        <f t="shared" si="12"/>
        <v>2.6739591920107504</v>
      </c>
      <c r="V62" s="15">
        <f t="shared" si="13"/>
        <v>-2.7264892683173203</v>
      </c>
      <c r="W62" s="15">
        <f t="shared" si="22"/>
        <v>-45.557297560673966</v>
      </c>
    </row>
    <row r="63" spans="1:23" x14ac:dyDescent="0.2">
      <c r="A63" s="48">
        <f t="shared" si="16"/>
        <v>53</v>
      </c>
      <c r="B63" s="196">
        <v>752.33</v>
      </c>
      <c r="C63" s="51">
        <v>0.46</v>
      </c>
      <c r="D63" s="51">
        <v>332.71</v>
      </c>
      <c r="E63" s="14">
        <f t="shared" si="15"/>
        <v>14.330000000000041</v>
      </c>
      <c r="F63" s="47">
        <f t="shared" si="18"/>
        <v>752.31604188235144</v>
      </c>
      <c r="G63" s="47">
        <f t="shared" si="0"/>
        <v>2.7721646836427558</v>
      </c>
      <c r="H63" s="49">
        <f t="shared" si="1"/>
        <v>2.7721646836427558</v>
      </c>
      <c r="I63" s="50" t="str">
        <f t="shared" si="2"/>
        <v>N</v>
      </c>
      <c r="J63" s="49">
        <f t="shared" si="3"/>
        <v>2.7813339460051005</v>
      </c>
      <c r="K63" s="50" t="str">
        <f t="shared" si="4"/>
        <v>W</v>
      </c>
      <c r="L63" s="47">
        <f t="shared" si="5"/>
        <v>3.9269218928362255</v>
      </c>
      <c r="M63" s="47">
        <f t="shared" si="6"/>
        <v>314.90540025445961</v>
      </c>
      <c r="N63" s="47">
        <f t="shared" si="7"/>
        <v>0.25382694442626147</v>
      </c>
      <c r="O63" s="47">
        <f t="shared" si="8"/>
        <v>0.13956734124214906</v>
      </c>
      <c r="P63" s="47">
        <f t="shared" si="9"/>
        <v>27.006280530355852</v>
      </c>
      <c r="S63" s="15">
        <f t="shared" si="10"/>
        <v>3.6373401136283373E-2</v>
      </c>
      <c r="T63" s="15">
        <f t="shared" si="11"/>
        <v>1</v>
      </c>
      <c r="U63" s="15">
        <f t="shared" si="12"/>
        <v>2.7721646836427558</v>
      </c>
      <c r="V63" s="15">
        <f t="shared" si="13"/>
        <v>-2.7813339460051005</v>
      </c>
      <c r="W63" s="15">
        <f t="shared" si="22"/>
        <v>-45.094599745540393</v>
      </c>
    </row>
    <row r="64" spans="1:23" x14ac:dyDescent="0.2">
      <c r="A64" s="48">
        <f t="shared" si="16"/>
        <v>54</v>
      </c>
      <c r="B64" s="196">
        <v>766.67</v>
      </c>
      <c r="C64" s="51">
        <v>0.49</v>
      </c>
      <c r="D64" s="51">
        <v>336.14</v>
      </c>
      <c r="E64" s="14">
        <f t="shared" si="15"/>
        <v>14.339999999999918</v>
      </c>
      <c r="F64" s="47">
        <f t="shared" si="18"/>
        <v>766.65554860464738</v>
      </c>
      <c r="G64" s="47">
        <f t="shared" si="0"/>
        <v>2.8793989699476961</v>
      </c>
      <c r="H64" s="49">
        <f t="shared" si="1"/>
        <v>2.8793989699476952</v>
      </c>
      <c r="I64" s="50" t="str">
        <f t="shared" si="2"/>
        <v>N</v>
      </c>
      <c r="J64" s="49">
        <f t="shared" si="3"/>
        <v>2.8325299332754721</v>
      </c>
      <c r="K64" s="50" t="str">
        <f t="shared" si="4"/>
        <v>W</v>
      </c>
      <c r="L64" s="47">
        <f t="shared" si="5"/>
        <v>4.0390796292023508</v>
      </c>
      <c r="M64" s="47">
        <f t="shared" si="6"/>
        <v>315.47012800231062</v>
      </c>
      <c r="N64" s="47">
        <f t="shared" si="7"/>
        <v>0.28816065682795083</v>
      </c>
      <c r="O64" s="47">
        <f t="shared" si="8"/>
        <v>0.20920502092050308</v>
      </c>
      <c r="P64" s="47">
        <f t="shared" si="9"/>
        <v>23.919107391910924</v>
      </c>
      <c r="S64" s="15">
        <f t="shared" si="10"/>
        <v>4.1322238189127912E-2</v>
      </c>
      <c r="T64" s="15">
        <f t="shared" si="11"/>
        <v>1</v>
      </c>
      <c r="U64" s="15">
        <f t="shared" si="12"/>
        <v>2.8793989699476952</v>
      </c>
      <c r="V64" s="15">
        <f t="shared" si="13"/>
        <v>-2.8325299332754721</v>
      </c>
      <c r="W64" s="15">
        <f t="shared" si="22"/>
        <v>-44.529871997689405</v>
      </c>
    </row>
    <row r="65" spans="1:23" x14ac:dyDescent="0.2">
      <c r="A65" s="48">
        <f t="shared" si="16"/>
        <v>55</v>
      </c>
      <c r="B65" s="196">
        <v>781</v>
      </c>
      <c r="C65" s="51">
        <v>0.52</v>
      </c>
      <c r="D65" s="51">
        <v>339.18</v>
      </c>
      <c r="E65" s="14">
        <f t="shared" ref="E65:E75" si="23">IF($B65="","",B65-B64)</f>
        <v>14.330000000000041</v>
      </c>
      <c r="F65" s="47">
        <f t="shared" si="18"/>
        <v>780.98499150375164</v>
      </c>
      <c r="G65" s="47">
        <f t="shared" si="0"/>
        <v>2.9962177880475669</v>
      </c>
      <c r="H65" s="49">
        <f t="shared" si="1"/>
        <v>2.9962177880475673</v>
      </c>
      <c r="I65" s="50" t="str">
        <f t="shared" si="2"/>
        <v>N</v>
      </c>
      <c r="J65" s="49">
        <f t="shared" si="3"/>
        <v>2.8804285373936134</v>
      </c>
      <c r="K65" s="50" t="str">
        <f t="shared" si="4"/>
        <v>W</v>
      </c>
      <c r="L65" s="47">
        <f t="shared" si="5"/>
        <v>4.1562229959957833</v>
      </c>
      <c r="M65" s="47">
        <f t="shared" si="6"/>
        <v>316.12876914736432</v>
      </c>
      <c r="N65" s="47">
        <f t="shared" si="7"/>
        <v>0.28062356040913183</v>
      </c>
      <c r="O65" s="47">
        <f t="shared" si="8"/>
        <v>0.20935101186322358</v>
      </c>
      <c r="P65" s="47">
        <f t="shared" si="9"/>
        <v>21.214235868806782</v>
      </c>
      <c r="S65" s="15">
        <f t="shared" si="10"/>
        <v>4.0213356206628713E-2</v>
      </c>
      <c r="T65" s="15">
        <f t="shared" si="11"/>
        <v>1</v>
      </c>
      <c r="U65" s="15">
        <f t="shared" si="12"/>
        <v>2.9962177880475673</v>
      </c>
      <c r="V65" s="15">
        <f t="shared" si="13"/>
        <v>-2.8804285373936134</v>
      </c>
      <c r="W65" s="15">
        <f t="shared" si="22"/>
        <v>-43.871230852635676</v>
      </c>
    </row>
    <row r="66" spans="1:23" x14ac:dyDescent="0.2">
      <c r="A66" s="48">
        <f t="shared" si="16"/>
        <v>56</v>
      </c>
      <c r="B66" s="196">
        <v>795.33</v>
      </c>
      <c r="C66" s="51">
        <v>0.55000000000000004</v>
      </c>
      <c r="D66" s="51">
        <v>341.88</v>
      </c>
      <c r="E66" s="14">
        <f t="shared" si="23"/>
        <v>14.330000000000041</v>
      </c>
      <c r="F66" s="47">
        <f t="shared" si="18"/>
        <v>795.31436630717894</v>
      </c>
      <c r="G66" s="47">
        <f t="shared" si="0"/>
        <v>3.1223653590050104</v>
      </c>
      <c r="H66" s="49">
        <f t="shared" si="1"/>
        <v>3.1223653590050078</v>
      </c>
      <c r="I66" s="50" t="str">
        <f t="shared" si="2"/>
        <v>N</v>
      </c>
      <c r="J66" s="49">
        <f t="shared" si="3"/>
        <v>2.9249316722418826</v>
      </c>
      <c r="K66" s="50" t="str">
        <f t="shared" si="4"/>
        <v>W</v>
      </c>
      <c r="L66" s="47">
        <f t="shared" si="5"/>
        <v>4.2783630891262803</v>
      </c>
      <c r="M66" s="47">
        <f t="shared" si="6"/>
        <v>316.86994292958695</v>
      </c>
      <c r="N66" s="47">
        <f t="shared" si="7"/>
        <v>0.27340357743243138</v>
      </c>
      <c r="O66" s="47">
        <f t="shared" si="8"/>
        <v>0.20935101186322358</v>
      </c>
      <c r="P66" s="47">
        <f t="shared" si="9"/>
        <v>18.841591067690025</v>
      </c>
      <c r="S66" s="15">
        <f t="shared" si="10"/>
        <v>3.9178732646067527E-2</v>
      </c>
      <c r="T66" s="15">
        <f t="shared" si="11"/>
        <v>1</v>
      </c>
      <c r="U66" s="15">
        <f t="shared" si="12"/>
        <v>3.1223653590050078</v>
      </c>
      <c r="V66" s="15">
        <f t="shared" si="13"/>
        <v>-2.9249316722418826</v>
      </c>
      <c r="W66" s="15">
        <f t="shared" si="22"/>
        <v>-43.130057070413073</v>
      </c>
    </row>
    <row r="67" spans="1:23" x14ac:dyDescent="0.2">
      <c r="A67" s="48">
        <f t="shared" si="16"/>
        <v>57</v>
      </c>
      <c r="B67" s="196">
        <v>809.67</v>
      </c>
      <c r="C67" s="51">
        <v>0.59</v>
      </c>
      <c r="D67" s="51">
        <v>344.29</v>
      </c>
      <c r="E67" s="14">
        <f t="shared" si="23"/>
        <v>14.339999999999918</v>
      </c>
      <c r="F67" s="47">
        <f t="shared" si="18"/>
        <v>809.65365582310017</v>
      </c>
      <c r="G67" s="47">
        <f t="shared" si="0"/>
        <v>3.2588514401802331</v>
      </c>
      <c r="H67" s="49">
        <f t="shared" si="1"/>
        <v>3.2588514401802344</v>
      </c>
      <c r="I67" s="50" t="str">
        <f t="shared" si="2"/>
        <v>N</v>
      </c>
      <c r="J67" s="49">
        <f t="shared" si="3"/>
        <v>2.9663283269569014</v>
      </c>
      <c r="K67" s="50" t="str">
        <f t="shared" si="4"/>
        <v>W</v>
      </c>
      <c r="L67" s="47">
        <f t="shared" si="5"/>
        <v>4.4067240045720713</v>
      </c>
      <c r="M67" s="47">
        <f t="shared" si="6"/>
        <v>317.69036728810386</v>
      </c>
      <c r="N67" s="47">
        <f t="shared" si="7"/>
        <v>0.32514896318272501</v>
      </c>
      <c r="O67" s="47">
        <f t="shared" si="8"/>
        <v>0.27894002789400385</v>
      </c>
      <c r="P67" s="47">
        <f t="shared" si="9"/>
        <v>16.806136680613939</v>
      </c>
      <c r="S67" s="15">
        <f t="shared" si="10"/>
        <v>4.6626361320402501E-2</v>
      </c>
      <c r="T67" s="15">
        <f t="shared" si="11"/>
        <v>1</v>
      </c>
      <c r="U67" s="15">
        <f t="shared" si="12"/>
        <v>3.2588514401802344</v>
      </c>
      <c r="V67" s="15">
        <f t="shared" si="13"/>
        <v>-2.9663283269569014</v>
      </c>
      <c r="W67" s="15">
        <f t="shared" si="22"/>
        <v>-42.30963271189615</v>
      </c>
    </row>
    <row r="68" spans="1:23" x14ac:dyDescent="0.2">
      <c r="A68" s="48">
        <f t="shared" si="16"/>
        <v>58</v>
      </c>
      <c r="B68" s="196">
        <v>824</v>
      </c>
      <c r="C68" s="51">
        <v>0.62</v>
      </c>
      <c r="D68" s="51">
        <v>346.43</v>
      </c>
      <c r="E68" s="14">
        <f t="shared" si="23"/>
        <v>14.330000000000041</v>
      </c>
      <c r="F68" s="47">
        <f t="shared" si="18"/>
        <v>823.98285645922886</v>
      </c>
      <c r="G68" s="47">
        <f t="shared" si="0"/>
        <v>3.405242113561552</v>
      </c>
      <c r="H68" s="49">
        <f t="shared" si="1"/>
        <v>3.4052421135615512</v>
      </c>
      <c r="I68" s="50" t="str">
        <f t="shared" si="2"/>
        <v>N</v>
      </c>
      <c r="J68" s="49">
        <f t="shared" si="3"/>
        <v>3.0044969916088187</v>
      </c>
      <c r="K68" s="50" t="str">
        <f t="shared" si="4"/>
        <v>W</v>
      </c>
      <c r="L68" s="47">
        <f t="shared" si="5"/>
        <v>4.5412196626632788</v>
      </c>
      <c r="M68" s="47">
        <f t="shared" si="6"/>
        <v>318.57754913833236</v>
      </c>
      <c r="N68" s="47">
        <f t="shared" si="7"/>
        <v>0.26205809910362771</v>
      </c>
      <c r="O68" s="47">
        <f t="shared" si="8"/>
        <v>0.20935101186322358</v>
      </c>
      <c r="P68" s="47">
        <f t="shared" si="9"/>
        <v>14.933705512909841</v>
      </c>
      <c r="S68" s="15">
        <f t="shared" si="10"/>
        <v>3.7552925601549957E-2</v>
      </c>
      <c r="T68" s="15">
        <f t="shared" si="11"/>
        <v>1</v>
      </c>
      <c r="U68" s="15">
        <f t="shared" si="12"/>
        <v>3.4052421135615512</v>
      </c>
      <c r="V68" s="15">
        <f t="shared" si="13"/>
        <v>-3.0044969916088187</v>
      </c>
      <c r="W68" s="15">
        <f t="shared" si="22"/>
        <v>-41.422450861667649</v>
      </c>
    </row>
    <row r="69" spans="1:23" x14ac:dyDescent="0.2">
      <c r="A69" s="48">
        <f t="shared" si="16"/>
        <v>59</v>
      </c>
      <c r="B69" s="196">
        <v>838.5</v>
      </c>
      <c r="C69" s="51">
        <v>0.63</v>
      </c>
      <c r="D69" s="51">
        <v>346.02</v>
      </c>
      <c r="E69" s="14">
        <f t="shared" si="23"/>
        <v>14.5</v>
      </c>
      <c r="F69" s="47">
        <f t="shared" si="18"/>
        <v>838.48199372652243</v>
      </c>
      <c r="G69" s="47">
        <f t="shared" si="0"/>
        <v>3.5588582120536438</v>
      </c>
      <c r="H69" s="49">
        <f t="shared" si="1"/>
        <v>3.5588582120536461</v>
      </c>
      <c r="I69" s="50" t="str">
        <f t="shared" si="2"/>
        <v>N</v>
      </c>
      <c r="J69" s="49">
        <f t="shared" si="3"/>
        <v>3.0421623216207627</v>
      </c>
      <c r="K69" s="50" t="str">
        <f t="shared" si="4"/>
        <v>W</v>
      </c>
      <c r="L69" s="47">
        <f t="shared" si="5"/>
        <v>4.6819038183831481</v>
      </c>
      <c r="M69" s="47">
        <f t="shared" si="6"/>
        <v>319.47570988849833</v>
      </c>
      <c r="N69" s="47">
        <f t="shared" si="7"/>
        <v>7.5548020356539028E-2</v>
      </c>
      <c r="O69" s="47">
        <f t="shared" si="8"/>
        <v>6.8965517241379365E-2</v>
      </c>
      <c r="P69" s="47">
        <f t="shared" si="9"/>
        <v>-2.8275862068967239</v>
      </c>
      <c r="S69" s="15">
        <f t="shared" si="10"/>
        <v>1.0954462951698158E-2</v>
      </c>
      <c r="T69" s="15">
        <f t="shared" si="11"/>
        <v>1</v>
      </c>
      <c r="U69" s="15">
        <f t="shared" si="12"/>
        <v>3.5588582120536461</v>
      </c>
      <c r="V69" s="15">
        <f t="shared" si="13"/>
        <v>-3.0421623216207627</v>
      </c>
      <c r="W69" s="15">
        <f t="shared" si="22"/>
        <v>-40.524290111501664</v>
      </c>
    </row>
    <row r="70" spans="1:23" x14ac:dyDescent="0.2">
      <c r="A70" s="48">
        <f t="shared" si="16"/>
        <v>60</v>
      </c>
      <c r="B70" s="196">
        <v>853</v>
      </c>
      <c r="C70" s="51">
        <v>0.64</v>
      </c>
      <c r="D70" s="51">
        <v>345.63</v>
      </c>
      <c r="E70" s="14">
        <f t="shared" si="23"/>
        <v>14.5</v>
      </c>
      <c r="F70" s="47">
        <f t="shared" si="18"/>
        <v>852.9811031675755</v>
      </c>
      <c r="G70" s="47">
        <f t="shared" si="0"/>
        <v>3.7146612730847797</v>
      </c>
      <c r="H70" s="49">
        <f t="shared" si="1"/>
        <v>3.7146612730847792</v>
      </c>
      <c r="I70" s="50" t="str">
        <f t="shared" si="2"/>
        <v>N</v>
      </c>
      <c r="J70" s="49">
        <f t="shared" si="3"/>
        <v>3.0815186717181193</v>
      </c>
      <c r="K70" s="50" t="str">
        <f t="shared" si="4"/>
        <v>W</v>
      </c>
      <c r="L70" s="47">
        <f t="shared" si="5"/>
        <v>4.8264340561022108</v>
      </c>
      <c r="M70" s="47">
        <f t="shared" si="6"/>
        <v>320.32240079385815</v>
      </c>
      <c r="N70" s="47">
        <f t="shared" si="7"/>
        <v>7.5131387190901011E-2</v>
      </c>
      <c r="O70" s="47">
        <f t="shared" si="8"/>
        <v>6.8965517241379365E-2</v>
      </c>
      <c r="P70" s="47">
        <f t="shared" si="9"/>
        <v>-2.689655172413699</v>
      </c>
      <c r="S70" s="15">
        <f t="shared" si="10"/>
        <v>1.0894051142680647E-2</v>
      </c>
      <c r="T70" s="15">
        <f t="shared" si="11"/>
        <v>1</v>
      </c>
      <c r="U70" s="15">
        <f t="shared" si="12"/>
        <v>3.7146612730847792</v>
      </c>
      <c r="V70" s="15">
        <f t="shared" si="13"/>
        <v>-3.0815186717181193</v>
      </c>
      <c r="W70" s="15">
        <f t="shared" si="22"/>
        <v>-39.677599206141871</v>
      </c>
    </row>
    <row r="71" spans="1:23" x14ac:dyDescent="0.2">
      <c r="A71" s="48">
        <f t="shared" si="16"/>
        <v>61</v>
      </c>
      <c r="B71" s="196">
        <v>867.5</v>
      </c>
      <c r="C71" s="51">
        <v>0.64</v>
      </c>
      <c r="D71" s="51">
        <v>345.24</v>
      </c>
      <c r="E71" s="14">
        <f t="shared" si="23"/>
        <v>14.5</v>
      </c>
      <c r="F71" s="47">
        <f t="shared" si="18"/>
        <v>867.48019858509122</v>
      </c>
      <c r="G71" s="47">
        <f t="shared" si="0"/>
        <v>3.8714185359616224</v>
      </c>
      <c r="H71" s="49">
        <f t="shared" si="1"/>
        <v>3.8714185359616238</v>
      </c>
      <c r="I71" s="50" t="str">
        <f t="shared" si="2"/>
        <v>N</v>
      </c>
      <c r="J71" s="49">
        <f t="shared" si="3"/>
        <v>3.1222486417899646</v>
      </c>
      <c r="K71" s="50" t="str">
        <f t="shared" si="4"/>
        <v>W</v>
      </c>
      <c r="L71" s="47">
        <f t="shared" si="5"/>
        <v>4.9735619089085965</v>
      </c>
      <c r="M71" s="47">
        <f t="shared" si="6"/>
        <v>321.11427576046668</v>
      </c>
      <c r="N71" s="47">
        <f t="shared" si="7"/>
        <v>3.0043053805599421E-2</v>
      </c>
      <c r="O71" s="47">
        <f t="shared" si="8"/>
        <v>0</v>
      </c>
      <c r="P71" s="47">
        <f t="shared" si="9"/>
        <v>-2.689655172413699</v>
      </c>
      <c r="S71" s="15">
        <f t="shared" si="10"/>
        <v>4.3562428018119161E-3</v>
      </c>
      <c r="T71" s="15">
        <f t="shared" si="11"/>
        <v>1</v>
      </c>
      <c r="U71" s="15">
        <f t="shared" si="12"/>
        <v>3.8714185359616238</v>
      </c>
      <c r="V71" s="15">
        <f t="shared" si="13"/>
        <v>-3.1222486417899646</v>
      </c>
      <c r="W71" s="15">
        <f t="shared" si="22"/>
        <v>-38.885724239533332</v>
      </c>
    </row>
    <row r="72" spans="1:23" x14ac:dyDescent="0.2">
      <c r="A72" s="48">
        <f t="shared" si="16"/>
        <v>62</v>
      </c>
      <c r="B72" s="196">
        <v>882</v>
      </c>
      <c r="C72" s="51">
        <v>0.65</v>
      </c>
      <c r="D72" s="51">
        <v>344.86</v>
      </c>
      <c r="E72" s="14">
        <f t="shared" si="23"/>
        <v>14.5</v>
      </c>
      <c r="F72" s="47">
        <f t="shared" si="18"/>
        <v>881.97927975823575</v>
      </c>
      <c r="G72" s="47">
        <f t="shared" si="0"/>
        <v>4.0291199882999607</v>
      </c>
      <c r="H72" s="49">
        <f t="shared" si="1"/>
        <v>4.0291199882999624</v>
      </c>
      <c r="I72" s="50" t="str">
        <f t="shared" si="2"/>
        <v>N</v>
      </c>
      <c r="J72" s="49">
        <f t="shared" si="3"/>
        <v>3.1643614946796181</v>
      </c>
      <c r="K72" s="50" t="str">
        <f t="shared" si="4"/>
        <v>W</v>
      </c>
      <c r="L72" s="47">
        <f t="shared" si="5"/>
        <v>5.1231817798248498</v>
      </c>
      <c r="M72" s="47">
        <f t="shared" si="6"/>
        <v>321.85487063738356</v>
      </c>
      <c r="N72" s="47">
        <f t="shared" si="7"/>
        <v>7.5010153874660576E-2</v>
      </c>
      <c r="O72" s="47">
        <f t="shared" si="8"/>
        <v>6.8965517241379365E-2</v>
      </c>
      <c r="P72" s="47">
        <f t="shared" si="9"/>
        <v>-2.6206896551723822</v>
      </c>
      <c r="S72" s="15">
        <f t="shared" si="10"/>
        <v>1.0876472311825784E-2</v>
      </c>
      <c r="T72" s="15">
        <f t="shared" si="11"/>
        <v>1</v>
      </c>
      <c r="U72" s="15">
        <f t="shared" si="12"/>
        <v>4.0291199882999624</v>
      </c>
      <c r="V72" s="15">
        <f t="shared" si="13"/>
        <v>-3.1643614946796181</v>
      </c>
      <c r="W72" s="15">
        <f t="shared" si="22"/>
        <v>-38.145129362616416</v>
      </c>
    </row>
    <row r="73" spans="1:23" x14ac:dyDescent="0.2">
      <c r="A73" s="48">
        <f t="shared" si="16"/>
        <v>63</v>
      </c>
      <c r="B73" s="196">
        <v>896.5</v>
      </c>
      <c r="C73" s="51">
        <v>0.66</v>
      </c>
      <c r="D73" s="51">
        <v>344.49</v>
      </c>
      <c r="E73" s="14">
        <f t="shared" si="23"/>
        <v>14.5</v>
      </c>
      <c r="F73" s="47">
        <f t="shared" si="18"/>
        <v>896.47833222180441</v>
      </c>
      <c r="G73" s="47">
        <f t="shared" si="0"/>
        <v>4.188983081563304</v>
      </c>
      <c r="H73" s="49">
        <f t="shared" si="1"/>
        <v>4.188983081563304</v>
      </c>
      <c r="I73" s="50" t="str">
        <f t="shared" si="2"/>
        <v>N</v>
      </c>
      <c r="J73" s="49">
        <f t="shared" si="3"/>
        <v>3.208174306895792</v>
      </c>
      <c r="K73" s="50" t="str">
        <f t="shared" si="4"/>
        <v>W</v>
      </c>
      <c r="L73" s="47">
        <f t="shared" si="5"/>
        <v>5.2763587483272865</v>
      </c>
      <c r="M73" s="47">
        <f t="shared" si="6"/>
        <v>322.55294314003777</v>
      </c>
      <c r="N73" s="47">
        <f t="shared" si="7"/>
        <v>7.4880600958593918E-2</v>
      </c>
      <c r="O73" s="47">
        <f t="shared" si="8"/>
        <v>6.8965517241379365E-2</v>
      </c>
      <c r="P73" s="47">
        <f t="shared" si="9"/>
        <v>-2.5517241379310658</v>
      </c>
      <c r="S73" s="15">
        <f t="shared" si="10"/>
        <v>1.0857687138996118E-2</v>
      </c>
      <c r="T73" s="15">
        <f t="shared" si="11"/>
        <v>1</v>
      </c>
      <c r="U73" s="15">
        <f t="shared" si="12"/>
        <v>4.188983081563304</v>
      </c>
      <c r="V73" s="15">
        <f t="shared" si="13"/>
        <v>-3.208174306895792</v>
      </c>
      <c r="W73" s="15">
        <f t="shared" si="22"/>
        <v>-37.447056859962238</v>
      </c>
    </row>
    <row r="74" spans="1:23" x14ac:dyDescent="0.2">
      <c r="A74" s="48">
        <f t="shared" si="16"/>
        <v>64</v>
      </c>
      <c r="B74" s="196">
        <v>911</v>
      </c>
      <c r="C74" s="51">
        <v>0.67</v>
      </c>
      <c r="D74" s="51">
        <v>344.13</v>
      </c>
      <c r="E74" s="14">
        <f t="shared" si="23"/>
        <v>14.5</v>
      </c>
      <c r="F74" s="47">
        <f t="shared" si="18"/>
        <v>910.97735553413088</v>
      </c>
      <c r="G74" s="47">
        <f t="shared" si="0"/>
        <v>4.3510001559055969</v>
      </c>
      <c r="H74" s="49">
        <f t="shared" si="1"/>
        <v>4.3510001559055995</v>
      </c>
      <c r="I74" s="50" t="str">
        <f t="shared" si="2"/>
        <v>N</v>
      </c>
      <c r="J74" s="49">
        <f t="shared" si="3"/>
        <v>3.2536888714366379</v>
      </c>
      <c r="K74" s="50" t="str">
        <f t="shared" si="4"/>
        <v>W</v>
      </c>
      <c r="L74" s="47">
        <f t="shared" si="5"/>
        <v>5.4330188319939747</v>
      </c>
      <c r="M74" s="47">
        <f t="shared" si="6"/>
        <v>323.21076751826087</v>
      </c>
      <c r="N74" s="47">
        <f t="shared" si="7"/>
        <v>7.474300477552126E-2</v>
      </c>
      <c r="O74" s="47">
        <f t="shared" si="8"/>
        <v>6.8965517241379365E-2</v>
      </c>
      <c r="P74" s="47">
        <f t="shared" si="9"/>
        <v>-2.482758620689749</v>
      </c>
      <c r="S74" s="15">
        <f t="shared" si="10"/>
        <v>1.0837735692450582E-2</v>
      </c>
      <c r="T74" s="15">
        <f t="shared" si="11"/>
        <v>1</v>
      </c>
      <c r="U74" s="15">
        <f t="shared" si="12"/>
        <v>4.3510001559055995</v>
      </c>
      <c r="V74" s="15">
        <f t="shared" si="13"/>
        <v>-3.2536888714366379</v>
      </c>
      <c r="W74" s="15">
        <f t="shared" si="22"/>
        <v>-36.789232481739113</v>
      </c>
    </row>
    <row r="75" spans="1:23" x14ac:dyDescent="0.2">
      <c r="A75" s="48">
        <f t="shared" si="16"/>
        <v>65</v>
      </c>
      <c r="B75" s="196">
        <v>925.33</v>
      </c>
      <c r="C75" s="51">
        <v>0.67</v>
      </c>
      <c r="D75" s="51">
        <v>341.08</v>
      </c>
      <c r="E75" s="14">
        <f t="shared" si="23"/>
        <v>14.330000000000041</v>
      </c>
      <c r="F75" s="47">
        <f t="shared" si="18"/>
        <v>925.30637578342191</v>
      </c>
      <c r="G75" s="47">
        <f t="shared" ref="G75:G138" si="24">IF(B75="","",L75*COS(RADIANS(M75-$N$2)))</f>
        <v>4.5108470691096594</v>
      </c>
      <c r="H75" s="49">
        <f t="shared" ref="H75:H138" si="25">IF(B75="","",ABS(U75))</f>
        <v>4.5108470691096594</v>
      </c>
      <c r="I75" s="50" t="str">
        <f t="shared" ref="I75:I138" si="26">IF(B75="","",IF(U75&lt;0,"S","N"))</f>
        <v>N</v>
      </c>
      <c r="J75" s="49">
        <f t="shared" ref="J75:J138" si="27">IF(B75="","",ABS(V75))</f>
        <v>3.3037665388096134</v>
      </c>
      <c r="K75" s="50" t="str">
        <f t="shared" ref="K75:K138" si="28">IF(B75="","",IF(V75&lt;0,"W","E"))</f>
        <v>W</v>
      </c>
      <c r="L75" s="47">
        <f t="shared" ref="L75:L138" si="29">IF(B75="","",(H75^2+J75^2)^0.5)</f>
        <v>5.5912981161670547</v>
      </c>
      <c r="M75" s="47">
        <f t="shared" ref="M75:M138" si="30">IF(B75="","",IF(I75="S", 180+W75,IF(AND(I75="N",K75="E"),W75,360+W75)))</f>
        <v>323.78076955853487</v>
      </c>
      <c r="N75" s="47">
        <f t="shared" ref="N75:N138" si="31">IF(B75="","",S75*100/E75)</f>
        <v>0.24885401365087703</v>
      </c>
      <c r="O75" s="47">
        <f t="shared" ref="O75:O138" si="32">IF(B75="","",(C75-C74)*(100/E75))</f>
        <v>0</v>
      </c>
      <c r="P75" s="47">
        <f t="shared" ref="P75:P138" si="33">IF(B75="","",(D75-D74)*(100/E75))</f>
        <v>-21.284019539427792</v>
      </c>
      <c r="S75" s="15">
        <f t="shared" ref="S75:S138" si="34">DEGREES(ACOS(COS(RADIANS(C75-C74))+((SIN(RADIANS(C75)))*(SIN(RADIANS(C74))))*((COS(RADIANS(D75-D74)))-1)))</f>
        <v>3.5660780156170781E-2</v>
      </c>
      <c r="T75" s="15">
        <f t="shared" ref="T75:T138" si="35">IF($U$1=1,IF(S75&lt;0.25,1,(2/S75)*(DEGREES((TAN(RADIANS(S75/2)))))),IF($U$1=2,IF(C75=C74,E75*(SIN(RADIANS(C75))),(E75/(C75-C74))*(DEGREES(COS(RADIANS(C75))-COS(RADIANS(C74))))),E75*SIN(RADIANS((C75+C74)/2))))</f>
        <v>1</v>
      </c>
      <c r="U75" s="15">
        <f t="shared" ref="U75:U138" si="36">IF($U$1=1,U74+(T75*E75/2*((SIN(RADIANS(C75))*COS(RADIANS(D75)))+(SIN(RADIANS(C74))*COS(RADIANS(D74))))),IF($U$1=2,IF(D75=D74,U74+(-T75*(COS(RADIANS(D75)))),U74+(-T75/(D75-D74))*(DEGREES(SIN(RADIANS(D75))-SIN(RADIANS(D74))))),U74+T75*(COS(RADIANS((D75+D74)/2)))))</f>
        <v>4.5108470691096594</v>
      </c>
      <c r="V75" s="15">
        <f t="shared" ref="V75:V138" si="37">IF($U$1=1,V74+(T75*E75/2*((SIN(RADIANS(C75))*SIN(RADIANS(D75)))+(SIN(RADIANS(C74))*SIN(RADIANS(D74))))),IF($U$1=2,IF(D75=D74,V74-T75*(SIN(RADIANS(D75))),V74+(T75/(D75-D74))*(DEGREES(COS(RADIANS(D75))-COS(RADIANS(D74))))),V74+(T75*(SIN(RADIANS((D75+D74)/2))))))</f>
        <v>-3.3037665388096134</v>
      </c>
      <c r="W75" s="15">
        <f t="shared" si="22"/>
        <v>-36.219230441465122</v>
      </c>
    </row>
    <row r="76" spans="1:23" x14ac:dyDescent="0.2">
      <c r="A76" s="48">
        <f t="shared" si="16"/>
        <v>66</v>
      </c>
      <c r="B76" s="196">
        <v>939.67</v>
      </c>
      <c r="C76" s="51">
        <v>0.68</v>
      </c>
      <c r="D76" s="51">
        <v>338.08</v>
      </c>
      <c r="E76" s="14">
        <f t="shared" ref="E76:E91" si="38">IF($B76="","",B76-B75)</f>
        <v>14.339999999999918</v>
      </c>
      <c r="F76" s="47">
        <f t="shared" ref="F76:F139" si="39">IF(B76="","",IF($U$1=1,F75+(T76*E76/2*(COS(RADIANS(C76))+COS(RADIANS(C75)))), IF($U$1=2,IF(C76=C75,F75+E76*(COS(RADIANS(C76))),F75+(E76/(C76-C75))*(DEGREES(SIN(RADIANS(C76))-SIN(RADIANS(C75))))),F75+(E76*(COS(RADIANS((C76+C75)/2)))))))</f>
        <v>939.6453806066263</v>
      </c>
      <c r="G76" s="47">
        <f t="shared" si="24"/>
        <v>4.6691007783521776</v>
      </c>
      <c r="H76" s="49">
        <f t="shared" si="25"/>
        <v>4.6691007783521776</v>
      </c>
      <c r="I76" s="50" t="str">
        <f t="shared" si="26"/>
        <v>N</v>
      </c>
      <c r="J76" s="49">
        <f t="shared" si="27"/>
        <v>3.3627184070261764</v>
      </c>
      <c r="K76" s="50" t="str">
        <f t="shared" si="28"/>
        <v>W</v>
      </c>
      <c r="L76" s="47">
        <f t="shared" si="29"/>
        <v>5.7539879356287829</v>
      </c>
      <c r="M76" s="47">
        <f t="shared" si="30"/>
        <v>324.23830782027392</v>
      </c>
      <c r="N76" s="47">
        <f t="shared" si="31"/>
        <v>0.25610034882849303</v>
      </c>
      <c r="O76" s="47">
        <f t="shared" si="32"/>
        <v>6.9735006973501157E-2</v>
      </c>
      <c r="P76" s="47">
        <f t="shared" si="33"/>
        <v>-20.920502092050327</v>
      </c>
      <c r="S76" s="15">
        <f t="shared" si="34"/>
        <v>3.6724790022005689E-2</v>
      </c>
      <c r="T76" s="15">
        <f t="shared" si="35"/>
        <v>1</v>
      </c>
      <c r="U76" s="15">
        <f t="shared" si="36"/>
        <v>4.6691007783521776</v>
      </c>
      <c r="V76" s="15">
        <f t="shared" si="37"/>
        <v>-3.3627184070261764</v>
      </c>
      <c r="W76" s="15">
        <f t="shared" ref="W76:W91" si="40">DEGREES(ATAN(V76/U76))</f>
        <v>-35.761692179726069</v>
      </c>
    </row>
    <row r="77" spans="1:23" x14ac:dyDescent="0.2">
      <c r="A77" s="48">
        <f t="shared" ref="A77:A140" si="41">IF(B77="","",IF(AND(B77&lt;&gt;"",B78=""),"Proj.",A76+1))</f>
        <v>67</v>
      </c>
      <c r="B77" s="196">
        <v>954</v>
      </c>
      <c r="C77" s="51">
        <v>0.69</v>
      </c>
      <c r="D77" s="51">
        <v>335.16</v>
      </c>
      <c r="E77" s="14">
        <f t="shared" si="38"/>
        <v>14.330000000000041</v>
      </c>
      <c r="F77" s="47">
        <f t="shared" si="39"/>
        <v>953.97435644137454</v>
      </c>
      <c r="G77" s="47">
        <f t="shared" si="24"/>
        <v>4.8262889965708524</v>
      </c>
      <c r="H77" s="49">
        <f t="shared" si="25"/>
        <v>4.8262889965708533</v>
      </c>
      <c r="I77" s="50" t="str">
        <f t="shared" si="26"/>
        <v>N</v>
      </c>
      <c r="J77" s="49">
        <f t="shared" si="27"/>
        <v>3.4307093989447663</v>
      </c>
      <c r="K77" s="50" t="str">
        <f t="shared" si="28"/>
        <v>W</v>
      </c>
      <c r="L77" s="47">
        <f t="shared" si="29"/>
        <v>5.9213877139086959</v>
      </c>
      <c r="M77" s="47">
        <f t="shared" si="30"/>
        <v>324.59334051874129</v>
      </c>
      <c r="N77" s="47">
        <f t="shared" si="31"/>
        <v>0.25337591726835357</v>
      </c>
      <c r="O77" s="47">
        <f t="shared" si="32"/>
        <v>6.9783670621073754E-2</v>
      </c>
      <c r="P77" s="47">
        <f t="shared" si="33"/>
        <v>-20.376831821353459</v>
      </c>
      <c r="S77" s="15">
        <f t="shared" si="34"/>
        <v>3.6308768944555168E-2</v>
      </c>
      <c r="T77" s="15">
        <f t="shared" si="35"/>
        <v>1</v>
      </c>
      <c r="U77" s="15">
        <f t="shared" si="36"/>
        <v>4.8262889965708533</v>
      </c>
      <c r="V77" s="15">
        <f t="shared" si="37"/>
        <v>-3.4307093989447663</v>
      </c>
      <c r="W77" s="15">
        <f t="shared" si="40"/>
        <v>-35.406659481258714</v>
      </c>
    </row>
    <row r="78" spans="1:23" x14ac:dyDescent="0.2">
      <c r="A78" s="48">
        <f t="shared" si="41"/>
        <v>68</v>
      </c>
      <c r="B78" s="196">
        <v>968.33</v>
      </c>
      <c r="C78" s="51">
        <v>0.7</v>
      </c>
      <c r="D78" s="51">
        <v>332.32</v>
      </c>
      <c r="E78" s="14">
        <f t="shared" si="38"/>
        <v>14.330000000000041</v>
      </c>
      <c r="F78" s="47">
        <f t="shared" si="39"/>
        <v>968.30330215719437</v>
      </c>
      <c r="G78" s="47">
        <f t="shared" si="24"/>
        <v>4.9821076849759205</v>
      </c>
      <c r="H78" s="49">
        <f t="shared" si="25"/>
        <v>4.9821076849759214</v>
      </c>
      <c r="I78" s="50" t="str">
        <f t="shared" si="26"/>
        <v>N</v>
      </c>
      <c r="J78" s="49">
        <f t="shared" si="27"/>
        <v>3.5076190378527139</v>
      </c>
      <c r="K78" s="50" t="str">
        <f t="shared" si="28"/>
        <v>W</v>
      </c>
      <c r="L78" s="47">
        <f t="shared" si="29"/>
        <v>6.0930114310907815</v>
      </c>
      <c r="M78" s="47">
        <f t="shared" si="30"/>
        <v>324.85279957417208</v>
      </c>
      <c r="N78" s="47">
        <f t="shared" si="31"/>
        <v>0.25028829192526109</v>
      </c>
      <c r="O78" s="47">
        <f t="shared" si="32"/>
        <v>6.9783670621074531E-2</v>
      </c>
      <c r="P78" s="47">
        <f t="shared" si="33"/>
        <v>-19.818562456385372</v>
      </c>
      <c r="S78" s="15">
        <f t="shared" si="34"/>
        <v>3.5866312232890017E-2</v>
      </c>
      <c r="T78" s="15">
        <f t="shared" si="35"/>
        <v>1</v>
      </c>
      <c r="U78" s="15">
        <f t="shared" si="36"/>
        <v>4.9821076849759214</v>
      </c>
      <c r="V78" s="15">
        <f t="shared" si="37"/>
        <v>-3.5076190378527139</v>
      </c>
      <c r="W78" s="15">
        <f t="shared" si="40"/>
        <v>-35.147200425827904</v>
      </c>
    </row>
    <row r="79" spans="1:23" x14ac:dyDescent="0.2">
      <c r="A79" s="48">
        <f t="shared" si="41"/>
        <v>69</v>
      </c>
      <c r="B79" s="196">
        <v>982.67</v>
      </c>
      <c r="C79" s="51">
        <v>0.71</v>
      </c>
      <c r="D79" s="51">
        <v>329.57</v>
      </c>
      <c r="E79" s="14">
        <f t="shared" si="38"/>
        <v>14.339999999999918</v>
      </c>
      <c r="F79" s="47">
        <f t="shared" si="39"/>
        <v>982.64221656056009</v>
      </c>
      <c r="G79" s="47">
        <f t="shared" si="24"/>
        <v>5.136287116694592</v>
      </c>
      <c r="H79" s="49">
        <f t="shared" si="25"/>
        <v>5.1362871166945947</v>
      </c>
      <c r="I79" s="50" t="str">
        <f t="shared" si="26"/>
        <v>N</v>
      </c>
      <c r="J79" s="49">
        <f t="shared" si="27"/>
        <v>3.5933100208584081</v>
      </c>
      <c r="K79" s="50" t="str">
        <f t="shared" si="28"/>
        <v>W</v>
      </c>
      <c r="L79" s="47">
        <f t="shared" si="29"/>
        <v>6.2684385815866719</v>
      </c>
      <c r="M79" s="47">
        <f t="shared" si="30"/>
        <v>325.02363707088739</v>
      </c>
      <c r="N79" s="47">
        <f t="shared" si="31"/>
        <v>0.24602191243102978</v>
      </c>
      <c r="O79" s="47">
        <f t="shared" si="32"/>
        <v>6.9735006973501157E-2</v>
      </c>
      <c r="P79" s="47">
        <f t="shared" si="33"/>
        <v>-19.177126917712801</v>
      </c>
      <c r="S79" s="15">
        <f t="shared" si="34"/>
        <v>3.5279542242609471E-2</v>
      </c>
      <c r="T79" s="15">
        <f t="shared" si="35"/>
        <v>1</v>
      </c>
      <c r="U79" s="15">
        <f t="shared" si="36"/>
        <v>5.1362871166945947</v>
      </c>
      <c r="V79" s="15">
        <f t="shared" si="37"/>
        <v>-3.5933100208584081</v>
      </c>
      <c r="W79" s="15">
        <f t="shared" si="40"/>
        <v>-34.976362929112589</v>
      </c>
    </row>
    <row r="80" spans="1:23" x14ac:dyDescent="0.2">
      <c r="A80" s="48">
        <f t="shared" si="41"/>
        <v>70</v>
      </c>
      <c r="B80" s="196">
        <v>997</v>
      </c>
      <c r="C80" s="51">
        <v>0.73</v>
      </c>
      <c r="D80" s="51">
        <v>326.92</v>
      </c>
      <c r="E80" s="14">
        <f t="shared" si="38"/>
        <v>14.330000000000041</v>
      </c>
      <c r="F80" s="47">
        <f t="shared" si="39"/>
        <v>996.97108490575965</v>
      </c>
      <c r="G80" s="47">
        <f t="shared" si="24"/>
        <v>5.2893315437214827</v>
      </c>
      <c r="H80" s="49">
        <f t="shared" si="25"/>
        <v>5.2893315437214827</v>
      </c>
      <c r="I80" s="50" t="str">
        <f t="shared" si="26"/>
        <v>N</v>
      </c>
      <c r="J80" s="49">
        <f t="shared" si="27"/>
        <v>3.6881032663000437</v>
      </c>
      <c r="K80" s="50" t="str">
        <f t="shared" si="28"/>
        <v>W</v>
      </c>
      <c r="L80" s="47">
        <f t="shared" si="29"/>
        <v>6.448188418641327</v>
      </c>
      <c r="M80" s="47">
        <f t="shared" si="30"/>
        <v>325.11301205080247</v>
      </c>
      <c r="N80" s="47">
        <f t="shared" si="31"/>
        <v>0.27103378391201083</v>
      </c>
      <c r="O80" s="47">
        <f t="shared" si="32"/>
        <v>0.13956734124214906</v>
      </c>
      <c r="P80" s="47">
        <f t="shared" si="33"/>
        <v>-18.492672714584575</v>
      </c>
      <c r="S80" s="15">
        <f t="shared" si="34"/>
        <v>3.8839141234591264E-2</v>
      </c>
      <c r="T80" s="15">
        <f t="shared" si="35"/>
        <v>1</v>
      </c>
      <c r="U80" s="15">
        <f t="shared" si="36"/>
        <v>5.2893315437214827</v>
      </c>
      <c r="V80" s="15">
        <f t="shared" si="37"/>
        <v>-3.6881032663000437</v>
      </c>
      <c r="W80" s="15">
        <f t="shared" si="40"/>
        <v>-34.886987949197511</v>
      </c>
    </row>
    <row r="81" spans="1:23" x14ac:dyDescent="0.2">
      <c r="A81" s="48">
        <f t="shared" si="41"/>
        <v>71</v>
      </c>
      <c r="B81" s="196">
        <v>1011.5</v>
      </c>
      <c r="C81" s="51">
        <v>0.7</v>
      </c>
      <c r="D81" s="51">
        <v>324.08999999999997</v>
      </c>
      <c r="E81" s="14">
        <f t="shared" si="38"/>
        <v>14.5</v>
      </c>
      <c r="F81" s="47">
        <f t="shared" si="39"/>
        <v>1011.4699553952497</v>
      </c>
      <c r="G81" s="47">
        <f t="shared" si="24"/>
        <v>5.4384673900776743</v>
      </c>
      <c r="H81" s="49">
        <f t="shared" si="25"/>
        <v>5.4384673900776752</v>
      </c>
      <c r="I81" s="50" t="str">
        <f t="shared" si="26"/>
        <v>N</v>
      </c>
      <c r="J81" s="49">
        <f t="shared" si="27"/>
        <v>3.790468603454892</v>
      </c>
      <c r="K81" s="50" t="str">
        <f t="shared" si="28"/>
        <v>W</v>
      </c>
      <c r="L81" s="47">
        <f t="shared" si="29"/>
        <v>6.6290708086967634</v>
      </c>
      <c r="M81" s="47">
        <f t="shared" si="30"/>
        <v>325.12451824888984</v>
      </c>
      <c r="N81" s="47">
        <f t="shared" si="31"/>
        <v>0.31950789448656813</v>
      </c>
      <c r="O81" s="47">
        <f t="shared" si="32"/>
        <v>-0.20689655172413809</v>
      </c>
      <c r="P81" s="47">
        <f t="shared" si="33"/>
        <v>-19.517241379310626</v>
      </c>
      <c r="S81" s="15">
        <f t="shared" si="34"/>
        <v>4.6328644700552382E-2</v>
      </c>
      <c r="T81" s="15">
        <f t="shared" si="35"/>
        <v>1</v>
      </c>
      <c r="U81" s="15">
        <f t="shared" si="36"/>
        <v>5.4384673900776752</v>
      </c>
      <c r="V81" s="15">
        <f t="shared" si="37"/>
        <v>-3.790468603454892</v>
      </c>
      <c r="W81" s="15">
        <f t="shared" si="40"/>
        <v>-34.875481751110165</v>
      </c>
    </row>
    <row r="82" spans="1:23" x14ac:dyDescent="0.2">
      <c r="A82" s="48">
        <f t="shared" si="41"/>
        <v>72</v>
      </c>
      <c r="B82" s="196">
        <v>1026</v>
      </c>
      <c r="C82" s="51">
        <v>0.67</v>
      </c>
      <c r="D82" s="51">
        <v>321</v>
      </c>
      <c r="E82" s="14">
        <f t="shared" si="38"/>
        <v>14.5</v>
      </c>
      <c r="F82" s="47">
        <f t="shared" si="39"/>
        <v>1025.9689186384323</v>
      </c>
      <c r="G82" s="47">
        <f t="shared" si="24"/>
        <v>5.5760907921375349</v>
      </c>
      <c r="H82" s="49">
        <f t="shared" si="25"/>
        <v>5.5760907921375358</v>
      </c>
      <c r="I82" s="50" t="str">
        <f t="shared" si="26"/>
        <v>N</v>
      </c>
      <c r="J82" s="49">
        <f t="shared" si="27"/>
        <v>3.8957702032980279</v>
      </c>
      <c r="K82" s="50" t="str">
        <f t="shared" si="28"/>
        <v>W</v>
      </c>
      <c r="L82" s="47">
        <f t="shared" si="29"/>
        <v>6.8021918525623608</v>
      </c>
      <c r="M82" s="47">
        <f t="shared" si="30"/>
        <v>325.05968768568493</v>
      </c>
      <c r="N82" s="47">
        <f t="shared" si="31"/>
        <v>0.32812654231508492</v>
      </c>
      <c r="O82" s="47">
        <f t="shared" si="32"/>
        <v>-0.20689655172413735</v>
      </c>
      <c r="P82" s="47">
        <f t="shared" si="33"/>
        <v>-21.310344827586032</v>
      </c>
      <c r="S82" s="15">
        <f t="shared" si="34"/>
        <v>4.7578348635687308E-2</v>
      </c>
      <c r="T82" s="15">
        <f t="shared" si="35"/>
        <v>1</v>
      </c>
      <c r="U82" s="15">
        <f t="shared" si="36"/>
        <v>5.5760907921375358</v>
      </c>
      <c r="V82" s="15">
        <f t="shared" si="37"/>
        <v>-3.8957702032980279</v>
      </c>
      <c r="W82" s="15">
        <f t="shared" si="40"/>
        <v>-34.940312314315065</v>
      </c>
    </row>
    <row r="83" spans="1:23" x14ac:dyDescent="0.2">
      <c r="A83" s="48">
        <f t="shared" si="41"/>
        <v>73</v>
      </c>
      <c r="B83" s="196">
        <v>1040.5</v>
      </c>
      <c r="C83" s="51">
        <v>0.65</v>
      </c>
      <c r="D83" s="51">
        <v>317.67</v>
      </c>
      <c r="E83" s="14">
        <f t="shared" si="38"/>
        <v>14.5</v>
      </c>
      <c r="F83" s="47">
        <f t="shared" si="39"/>
        <v>1040.4679564159635</v>
      </c>
      <c r="G83" s="47">
        <f t="shared" si="24"/>
        <v>5.7027785906839714</v>
      </c>
      <c r="H83" s="49">
        <f t="shared" si="25"/>
        <v>5.7027785906839723</v>
      </c>
      <c r="I83" s="50" t="str">
        <f t="shared" si="26"/>
        <v>N</v>
      </c>
      <c r="J83" s="49">
        <f t="shared" si="27"/>
        <v>4.0045073940568763</v>
      </c>
      <c r="K83" s="50" t="str">
        <f t="shared" si="28"/>
        <v>W</v>
      </c>
      <c r="L83" s="47">
        <f t="shared" si="29"/>
        <v>6.9683400550934413</v>
      </c>
      <c r="M83" s="47">
        <f t="shared" si="30"/>
        <v>324.92335994850191</v>
      </c>
      <c r="N83" s="47">
        <f t="shared" si="31"/>
        <v>0.29827759885484084</v>
      </c>
      <c r="O83" s="47">
        <f t="shared" si="32"/>
        <v>-0.13793103448275873</v>
      </c>
      <c r="P83" s="47">
        <f t="shared" si="33"/>
        <v>-22.965517241379199</v>
      </c>
      <c r="S83" s="15">
        <f t="shared" si="34"/>
        <v>4.3250251833951925E-2</v>
      </c>
      <c r="T83" s="15">
        <f t="shared" si="35"/>
        <v>1</v>
      </c>
      <c r="U83" s="15">
        <f t="shared" si="36"/>
        <v>5.7027785906839723</v>
      </c>
      <c r="V83" s="15">
        <f t="shared" si="37"/>
        <v>-4.0045073940568763</v>
      </c>
      <c r="W83" s="15">
        <f t="shared" si="40"/>
        <v>-35.076640051498067</v>
      </c>
    </row>
    <row r="84" spans="1:23" x14ac:dyDescent="0.2">
      <c r="A84" s="48">
        <f t="shared" si="41"/>
        <v>74</v>
      </c>
      <c r="B84" s="196">
        <v>1055</v>
      </c>
      <c r="C84" s="51">
        <v>0.62</v>
      </c>
      <c r="D84" s="51">
        <v>314.08</v>
      </c>
      <c r="E84" s="14">
        <f t="shared" si="38"/>
        <v>14.5</v>
      </c>
      <c r="F84" s="47">
        <f t="shared" si="39"/>
        <v>1054.9670654153485</v>
      </c>
      <c r="G84" s="47">
        <f t="shared" si="24"/>
        <v>5.8181573460078715</v>
      </c>
      <c r="H84" s="49">
        <f t="shared" si="25"/>
        <v>5.8181573460078715</v>
      </c>
      <c r="I84" s="50" t="str">
        <f t="shared" si="26"/>
        <v>N</v>
      </c>
      <c r="J84" s="49">
        <f t="shared" si="27"/>
        <v>4.1162492090134464</v>
      </c>
      <c r="K84" s="50" t="str">
        <f t="shared" si="28"/>
        <v>W</v>
      </c>
      <c r="L84" s="47">
        <f t="shared" si="29"/>
        <v>7.1270233936482335</v>
      </c>
      <c r="M84" s="47">
        <f t="shared" si="30"/>
        <v>324.72123058275605</v>
      </c>
      <c r="N84" s="47">
        <f t="shared" si="31"/>
        <v>0.3435543055966872</v>
      </c>
      <c r="O84" s="47">
        <f t="shared" si="32"/>
        <v>-0.20689655172413809</v>
      </c>
      <c r="P84" s="47">
        <f t="shared" si="33"/>
        <v>-24.758620689655391</v>
      </c>
      <c r="S84" s="15">
        <f t="shared" si="34"/>
        <v>4.9815374311519639E-2</v>
      </c>
      <c r="T84" s="15">
        <f t="shared" si="35"/>
        <v>1</v>
      </c>
      <c r="U84" s="15">
        <f t="shared" si="36"/>
        <v>5.8181573460078715</v>
      </c>
      <c r="V84" s="15">
        <f t="shared" si="37"/>
        <v>-4.1162492090134464</v>
      </c>
      <c r="W84" s="15">
        <f t="shared" si="40"/>
        <v>-35.278769417243943</v>
      </c>
    </row>
    <row r="85" spans="1:23" x14ac:dyDescent="0.2">
      <c r="A85" s="48">
        <f t="shared" si="41"/>
        <v>75</v>
      </c>
      <c r="B85" s="196">
        <v>1069.5</v>
      </c>
      <c r="C85" s="51">
        <v>0.6</v>
      </c>
      <c r="D85" s="51">
        <v>310.23</v>
      </c>
      <c r="E85" s="14">
        <f t="shared" si="38"/>
        <v>14.5</v>
      </c>
      <c r="F85" s="47">
        <f t="shared" si="39"/>
        <v>1069.4662434282468</v>
      </c>
      <c r="G85" s="47">
        <f t="shared" si="24"/>
        <v>5.9217665289123236</v>
      </c>
      <c r="H85" s="49">
        <f t="shared" si="25"/>
        <v>5.9217665289123209</v>
      </c>
      <c r="I85" s="50" t="str">
        <f t="shared" si="26"/>
        <v>N</v>
      </c>
      <c r="J85" s="49">
        <f t="shared" si="27"/>
        <v>4.2305680630979712</v>
      </c>
      <c r="K85" s="50" t="str">
        <f t="shared" si="28"/>
        <v>W</v>
      </c>
      <c r="L85" s="47">
        <f t="shared" si="29"/>
        <v>7.2777073972131365</v>
      </c>
      <c r="M85" s="47">
        <f t="shared" si="30"/>
        <v>324.45761464640304</v>
      </c>
      <c r="N85" s="47">
        <f t="shared" si="31"/>
        <v>0.31445221155980996</v>
      </c>
      <c r="O85" s="47">
        <f t="shared" si="32"/>
        <v>-0.13793103448275873</v>
      </c>
      <c r="P85" s="47">
        <f t="shared" si="33"/>
        <v>-26.551724137930798</v>
      </c>
      <c r="S85" s="15">
        <f t="shared" si="34"/>
        <v>4.5595570676172439E-2</v>
      </c>
      <c r="T85" s="15">
        <f t="shared" si="35"/>
        <v>1</v>
      </c>
      <c r="U85" s="15">
        <f t="shared" si="36"/>
        <v>5.9217665289123209</v>
      </c>
      <c r="V85" s="15">
        <f t="shared" si="37"/>
        <v>-4.2305680630979712</v>
      </c>
      <c r="W85" s="15">
        <f t="shared" si="40"/>
        <v>-35.542385353596984</v>
      </c>
    </row>
    <row r="86" spans="1:23" x14ac:dyDescent="0.2">
      <c r="A86" s="48">
        <f t="shared" si="41"/>
        <v>76</v>
      </c>
      <c r="B86" s="196">
        <v>1084</v>
      </c>
      <c r="C86" s="51">
        <v>0.59</v>
      </c>
      <c r="D86" s="51">
        <v>306.13</v>
      </c>
      <c r="E86" s="14">
        <f t="shared" si="38"/>
        <v>14.5</v>
      </c>
      <c r="F86" s="47">
        <f t="shared" si="39"/>
        <v>1083.9654615242446</v>
      </c>
      <c r="G86" s="47">
        <f t="shared" si="24"/>
        <v>6.0148184267529201</v>
      </c>
      <c r="H86" s="49">
        <f t="shared" si="25"/>
        <v>6.0148184267529201</v>
      </c>
      <c r="I86" s="50" t="str">
        <f t="shared" si="26"/>
        <v>N</v>
      </c>
      <c r="J86" s="49">
        <f t="shared" si="27"/>
        <v>4.3488276814649467</v>
      </c>
      <c r="K86" s="50" t="str">
        <f t="shared" si="28"/>
        <v>W</v>
      </c>
      <c r="L86" s="47">
        <f t="shared" si="29"/>
        <v>7.4222869056566561</v>
      </c>
      <c r="M86" s="47">
        <f t="shared" si="30"/>
        <v>324.13235787497223</v>
      </c>
      <c r="N86" s="47">
        <f t="shared" si="31"/>
        <v>0.30155054233852752</v>
      </c>
      <c r="O86" s="47">
        <f t="shared" si="32"/>
        <v>-6.8965517241379365E-2</v>
      </c>
      <c r="P86" s="47">
        <f t="shared" si="33"/>
        <v>-28.275862068965672</v>
      </c>
      <c r="S86" s="15">
        <f t="shared" si="34"/>
        <v>4.3724828639086492E-2</v>
      </c>
      <c r="T86" s="15">
        <f t="shared" si="35"/>
        <v>1</v>
      </c>
      <c r="U86" s="15">
        <f t="shared" si="36"/>
        <v>6.0148184267529201</v>
      </c>
      <c r="V86" s="15">
        <f t="shared" si="37"/>
        <v>-4.3488276814649467</v>
      </c>
      <c r="W86" s="15">
        <f t="shared" si="40"/>
        <v>-35.867642125027764</v>
      </c>
    </row>
    <row r="87" spans="1:23" x14ac:dyDescent="0.2">
      <c r="A87" s="48">
        <f t="shared" si="41"/>
        <v>77</v>
      </c>
      <c r="B87" s="196">
        <v>1098.17</v>
      </c>
      <c r="C87" s="51">
        <v>0.57999999999999996</v>
      </c>
      <c r="D87" s="51">
        <v>304.5</v>
      </c>
      <c r="E87" s="14">
        <f t="shared" si="38"/>
        <v>14.170000000000073</v>
      </c>
      <c r="F87" s="47">
        <f t="shared" si="39"/>
        <v>1098.1347228817788</v>
      </c>
      <c r="G87" s="47">
        <f t="shared" si="24"/>
        <v>6.0984571722387999</v>
      </c>
      <c r="H87" s="49">
        <f t="shared" si="25"/>
        <v>6.098457172238799</v>
      </c>
      <c r="I87" s="50" t="str">
        <f t="shared" si="26"/>
        <v>N</v>
      </c>
      <c r="J87" s="49">
        <f t="shared" si="27"/>
        <v>4.4668589424374865</v>
      </c>
      <c r="K87" s="50" t="str">
        <f t="shared" si="28"/>
        <v>W</v>
      </c>
      <c r="L87" s="47">
        <f t="shared" si="29"/>
        <v>7.559365627700819</v>
      </c>
      <c r="M87" s="47">
        <f t="shared" si="30"/>
        <v>323.77881911900101</v>
      </c>
      <c r="N87" s="47">
        <f t="shared" si="31"/>
        <v>0.13701208410173957</v>
      </c>
      <c r="O87" s="47">
        <f t="shared" si="32"/>
        <v>-7.0571630204657426E-2</v>
      </c>
      <c r="P87" s="47">
        <f t="shared" si="33"/>
        <v>-11.503175723359119</v>
      </c>
      <c r="S87" s="15">
        <f t="shared" si="34"/>
        <v>1.9414612317216598E-2</v>
      </c>
      <c r="T87" s="15">
        <f t="shared" si="35"/>
        <v>1</v>
      </c>
      <c r="U87" s="15">
        <f t="shared" si="36"/>
        <v>6.098457172238799</v>
      </c>
      <c r="V87" s="15">
        <f t="shared" si="37"/>
        <v>-4.4668589424374865</v>
      </c>
      <c r="W87" s="15">
        <f t="shared" si="40"/>
        <v>-36.221180880998979</v>
      </c>
    </row>
    <row r="88" spans="1:23" x14ac:dyDescent="0.2">
      <c r="A88" s="48">
        <f t="shared" si="41"/>
        <v>78</v>
      </c>
      <c r="B88" s="196">
        <v>1112.33</v>
      </c>
      <c r="C88" s="51">
        <v>0.57999999999999996</v>
      </c>
      <c r="D88" s="51">
        <v>302.85000000000002</v>
      </c>
      <c r="E88" s="14">
        <f t="shared" si="38"/>
        <v>14.159999999999854</v>
      </c>
      <c r="F88" s="47">
        <f t="shared" si="39"/>
        <v>1112.2939973770099</v>
      </c>
      <c r="G88" s="47">
        <f t="shared" si="24"/>
        <v>6.1779271571144339</v>
      </c>
      <c r="H88" s="49">
        <f t="shared" si="25"/>
        <v>6.177927157114433</v>
      </c>
      <c r="I88" s="50" t="str">
        <f t="shared" si="26"/>
        <v>N</v>
      </c>
      <c r="J88" s="49">
        <f t="shared" si="27"/>
        <v>4.5861318678273495</v>
      </c>
      <c r="K88" s="50" t="str">
        <f t="shared" si="28"/>
        <v>W</v>
      </c>
      <c r="L88" s="47">
        <f t="shared" si="29"/>
        <v>7.6941139494885045</v>
      </c>
      <c r="M88" s="47">
        <f t="shared" si="30"/>
        <v>323.41196714759707</v>
      </c>
      <c r="N88" s="47">
        <f t="shared" si="31"/>
        <v>0.11795154368145871</v>
      </c>
      <c r="O88" s="47">
        <f t="shared" si="32"/>
        <v>0</v>
      </c>
      <c r="P88" s="47">
        <f t="shared" si="33"/>
        <v>-11.652542372881316</v>
      </c>
      <c r="S88" s="15">
        <f t="shared" si="34"/>
        <v>1.6701938585294382E-2</v>
      </c>
      <c r="T88" s="15">
        <f t="shared" si="35"/>
        <v>1</v>
      </c>
      <c r="U88" s="15">
        <f t="shared" si="36"/>
        <v>6.177927157114433</v>
      </c>
      <c r="V88" s="15">
        <f t="shared" si="37"/>
        <v>-4.5861318678273495</v>
      </c>
      <c r="W88" s="15">
        <f t="shared" si="40"/>
        <v>-36.588032852402939</v>
      </c>
    </row>
    <row r="89" spans="1:23" x14ac:dyDescent="0.2">
      <c r="A89" s="48">
        <f t="shared" si="41"/>
        <v>79</v>
      </c>
      <c r="B89" s="196">
        <v>1126.5</v>
      </c>
      <c r="C89" s="51">
        <v>0.57999999999999996</v>
      </c>
      <c r="D89" s="51">
        <v>301.18</v>
      </c>
      <c r="E89" s="14">
        <f t="shared" si="38"/>
        <v>14.170000000000073</v>
      </c>
      <c r="F89" s="47">
        <f t="shared" si="39"/>
        <v>1126.4632713598792</v>
      </c>
      <c r="G89" s="47">
        <f t="shared" si="24"/>
        <v>6.2539621103066692</v>
      </c>
      <c r="H89" s="49">
        <f t="shared" si="25"/>
        <v>6.2539621103066692</v>
      </c>
      <c r="I89" s="50" t="str">
        <f t="shared" si="26"/>
        <v>N</v>
      </c>
      <c r="J89" s="49">
        <f t="shared" si="27"/>
        <v>4.7077423721895544</v>
      </c>
      <c r="K89" s="50" t="str">
        <f t="shared" si="28"/>
        <v>W</v>
      </c>
      <c r="L89" s="47">
        <f t="shared" si="29"/>
        <v>7.8278273052016401</v>
      </c>
      <c r="M89" s="47">
        <f t="shared" si="30"/>
        <v>323.02897147120478</v>
      </c>
      <c r="N89" s="47">
        <f t="shared" si="31"/>
        <v>0.11929690957751614</v>
      </c>
      <c r="O89" s="47">
        <f t="shared" si="32"/>
        <v>0</v>
      </c>
      <c r="P89" s="47">
        <f t="shared" si="33"/>
        <v>-11.785462244177893</v>
      </c>
      <c r="S89" s="15">
        <f t="shared" si="34"/>
        <v>1.6904372087134124E-2</v>
      </c>
      <c r="T89" s="15">
        <f t="shared" si="35"/>
        <v>1</v>
      </c>
      <c r="U89" s="15">
        <f t="shared" si="36"/>
        <v>6.2539621103066692</v>
      </c>
      <c r="V89" s="15">
        <f t="shared" si="37"/>
        <v>-4.7077423721895544</v>
      </c>
      <c r="W89" s="15">
        <f t="shared" si="40"/>
        <v>-36.971028528795209</v>
      </c>
    </row>
    <row r="90" spans="1:23" x14ac:dyDescent="0.2">
      <c r="A90" s="48">
        <f t="shared" si="41"/>
        <v>80</v>
      </c>
      <c r="B90" s="196">
        <v>1140.67</v>
      </c>
      <c r="C90" s="51">
        <v>0.57999999999999996</v>
      </c>
      <c r="D90" s="51">
        <v>299.51</v>
      </c>
      <c r="E90" s="14">
        <f t="shared" si="38"/>
        <v>14.170000000000073</v>
      </c>
      <c r="F90" s="47">
        <f t="shared" si="39"/>
        <v>1140.6325453427485</v>
      </c>
      <c r="G90" s="47">
        <f t="shared" si="24"/>
        <v>6.3264206888034717</v>
      </c>
      <c r="H90" s="49">
        <f t="shared" si="25"/>
        <v>6.3264206888034726</v>
      </c>
      <c r="I90" s="50" t="str">
        <f t="shared" si="26"/>
        <v>N</v>
      </c>
      <c r="J90" s="49">
        <f t="shared" si="27"/>
        <v>4.8315171001448114</v>
      </c>
      <c r="K90" s="50" t="str">
        <f t="shared" si="28"/>
        <v>W</v>
      </c>
      <c r="L90" s="47">
        <f t="shared" si="29"/>
        <v>7.9603490011878453</v>
      </c>
      <c r="M90" s="47">
        <f t="shared" si="30"/>
        <v>322.63085814518115</v>
      </c>
      <c r="N90" s="47">
        <f t="shared" si="31"/>
        <v>0.11929690957751614</v>
      </c>
      <c r="O90" s="47">
        <f t="shared" si="32"/>
        <v>0</v>
      </c>
      <c r="P90" s="47">
        <f t="shared" si="33"/>
        <v>-11.785462244177893</v>
      </c>
      <c r="S90" s="15">
        <f t="shared" si="34"/>
        <v>1.6904372087134124E-2</v>
      </c>
      <c r="T90" s="15">
        <f t="shared" si="35"/>
        <v>1</v>
      </c>
      <c r="U90" s="15">
        <f t="shared" si="36"/>
        <v>6.3264206888034726</v>
      </c>
      <c r="V90" s="15">
        <f t="shared" si="37"/>
        <v>-4.8315171001448114</v>
      </c>
      <c r="W90" s="15">
        <f t="shared" si="40"/>
        <v>-37.369141854818857</v>
      </c>
    </row>
    <row r="91" spans="1:23" x14ac:dyDescent="0.2">
      <c r="A91" s="48">
        <f t="shared" si="41"/>
        <v>81</v>
      </c>
      <c r="B91" s="196">
        <v>1154.83</v>
      </c>
      <c r="C91" s="51">
        <v>0.57999999999999996</v>
      </c>
      <c r="D91" s="51">
        <v>297.83</v>
      </c>
      <c r="E91" s="14">
        <f t="shared" si="38"/>
        <v>14.159999999999854</v>
      </c>
      <c r="F91" s="47">
        <f t="shared" si="39"/>
        <v>1154.7918198379796</v>
      </c>
      <c r="G91" s="47">
        <f t="shared" si="24"/>
        <v>6.3951817108010802</v>
      </c>
      <c r="H91" s="49">
        <f t="shared" si="25"/>
        <v>6.3951817108010784</v>
      </c>
      <c r="I91" s="50" t="str">
        <f t="shared" si="26"/>
        <v>N</v>
      </c>
      <c r="J91" s="49">
        <f t="shared" si="27"/>
        <v>4.9572679442553911</v>
      </c>
      <c r="K91" s="50" t="str">
        <f t="shared" si="28"/>
        <v>W</v>
      </c>
      <c r="L91" s="47">
        <f t="shared" si="29"/>
        <v>8.0915298050063864</v>
      </c>
      <c r="M91" s="47">
        <f t="shared" si="30"/>
        <v>322.21870694218421</v>
      </c>
      <c r="N91" s="47">
        <f t="shared" si="31"/>
        <v>0.12009596487562327</v>
      </c>
      <c r="O91" s="47">
        <f t="shared" si="32"/>
        <v>0</v>
      </c>
      <c r="P91" s="47">
        <f t="shared" si="33"/>
        <v>-11.864406779661186</v>
      </c>
      <c r="S91" s="15">
        <f t="shared" si="34"/>
        <v>1.7005588626388079E-2</v>
      </c>
      <c r="T91" s="15">
        <f t="shared" si="35"/>
        <v>1</v>
      </c>
      <c r="U91" s="15">
        <f t="shared" si="36"/>
        <v>6.3951817108010784</v>
      </c>
      <c r="V91" s="15">
        <f t="shared" si="37"/>
        <v>-4.9572679442553911</v>
      </c>
      <c r="W91" s="15">
        <f t="shared" si="40"/>
        <v>-37.781293057815773</v>
      </c>
    </row>
    <row r="92" spans="1:23" x14ac:dyDescent="0.2">
      <c r="A92" s="48">
        <f t="shared" si="41"/>
        <v>82</v>
      </c>
      <c r="B92" s="196">
        <v>1169</v>
      </c>
      <c r="C92" s="51">
        <v>0.56999999999999995</v>
      </c>
      <c r="D92" s="51">
        <v>296.14999999999998</v>
      </c>
      <c r="E92" s="14">
        <f t="shared" ref="E92:E107" si="42">IF($B92="","",B92-B91)</f>
        <v>14.170000000000073</v>
      </c>
      <c r="F92" s="47">
        <f t="shared" si="39"/>
        <v>1168.9611062303734</v>
      </c>
      <c r="G92" s="47">
        <f t="shared" si="24"/>
        <v>6.4597274776390643</v>
      </c>
      <c r="H92" s="49">
        <f t="shared" si="25"/>
        <v>6.459727477639067</v>
      </c>
      <c r="I92" s="50" t="str">
        <f t="shared" si="26"/>
        <v>N</v>
      </c>
      <c r="J92" s="49">
        <f t="shared" si="27"/>
        <v>5.0839608780009984</v>
      </c>
      <c r="K92" s="50" t="str">
        <f t="shared" si="28"/>
        <v>W</v>
      </c>
      <c r="L92" s="47">
        <f t="shared" si="29"/>
        <v>8.2203854711570461</v>
      </c>
      <c r="M92" s="47">
        <f t="shared" si="30"/>
        <v>321.79640352216256</v>
      </c>
      <c r="N92" s="47">
        <f t="shared" si="31"/>
        <v>0.13832834813196865</v>
      </c>
      <c r="O92" s="47">
        <f t="shared" si="32"/>
        <v>-7.0571630204657426E-2</v>
      </c>
      <c r="P92" s="47">
        <f t="shared" si="33"/>
        <v>-11.856033874382486</v>
      </c>
      <c r="S92" s="15">
        <f t="shared" si="34"/>
        <v>1.9601126930300059E-2</v>
      </c>
      <c r="T92" s="15">
        <f t="shared" si="35"/>
        <v>1</v>
      </c>
      <c r="U92" s="15">
        <f t="shared" si="36"/>
        <v>6.459727477639067</v>
      </c>
      <c r="V92" s="15">
        <f t="shared" si="37"/>
        <v>-5.0839608780009984</v>
      </c>
      <c r="W92" s="15">
        <f t="shared" ref="W92:W107" si="43">DEGREES(ATAN(V92/U92))</f>
        <v>-38.203596477837415</v>
      </c>
    </row>
    <row r="93" spans="1:23" x14ac:dyDescent="0.2">
      <c r="A93" s="48">
        <f t="shared" si="41"/>
        <v>83</v>
      </c>
      <c r="B93" s="196">
        <v>1183.33</v>
      </c>
      <c r="C93" s="51">
        <v>0.61</v>
      </c>
      <c r="D93" s="51">
        <v>295.37</v>
      </c>
      <c r="E93" s="14">
        <f t="shared" si="42"/>
        <v>14.329999999999927</v>
      </c>
      <c r="F93" s="47">
        <f t="shared" si="39"/>
        <v>1183.2903456066745</v>
      </c>
      <c r="G93" s="47">
        <f t="shared" si="24"/>
        <v>6.5238251520787234</v>
      </c>
      <c r="H93" s="49">
        <f t="shared" si="25"/>
        <v>6.5238251520787207</v>
      </c>
      <c r="I93" s="50" t="str">
        <f t="shared" si="26"/>
        <v>N</v>
      </c>
      <c r="J93" s="49">
        <f t="shared" si="27"/>
        <v>5.2168681990754742</v>
      </c>
      <c r="K93" s="50" t="str">
        <f t="shared" si="28"/>
        <v>W</v>
      </c>
      <c r="L93" s="47">
        <f t="shared" si="29"/>
        <v>8.3532034825819927</v>
      </c>
      <c r="M93" s="47">
        <f t="shared" si="30"/>
        <v>321.35193187473794</v>
      </c>
      <c r="N93" s="47">
        <f t="shared" si="31"/>
        <v>0.28469990451750793</v>
      </c>
      <c r="O93" s="47">
        <f t="shared" si="32"/>
        <v>0.27913468248430034</v>
      </c>
      <c r="P93" s="47">
        <f t="shared" si="33"/>
        <v>-5.4431263084436621</v>
      </c>
      <c r="S93" s="15">
        <f t="shared" si="34"/>
        <v>4.0797496317358677E-2</v>
      </c>
      <c r="T93" s="15">
        <f t="shared" si="35"/>
        <v>1</v>
      </c>
      <c r="U93" s="15">
        <f t="shared" si="36"/>
        <v>6.5238251520787207</v>
      </c>
      <c r="V93" s="15">
        <f t="shared" si="37"/>
        <v>-5.2168681990754742</v>
      </c>
      <c r="W93" s="15">
        <f t="shared" si="43"/>
        <v>-38.648068125262071</v>
      </c>
    </row>
    <row r="94" spans="1:23" x14ac:dyDescent="0.2">
      <c r="A94" s="48">
        <f t="shared" si="41"/>
        <v>84</v>
      </c>
      <c r="B94" s="196">
        <v>1197.67</v>
      </c>
      <c r="C94" s="51">
        <v>0.64</v>
      </c>
      <c r="D94" s="51">
        <v>294.67</v>
      </c>
      <c r="E94" s="14">
        <f t="shared" si="42"/>
        <v>14.340000000000146</v>
      </c>
      <c r="F94" s="47">
        <f t="shared" si="39"/>
        <v>1197.6294919569818</v>
      </c>
      <c r="G94" s="47">
        <f t="shared" si="24"/>
        <v>6.5899594248567341</v>
      </c>
      <c r="H94" s="49">
        <f t="shared" si="25"/>
        <v>6.5899594248567368</v>
      </c>
      <c r="I94" s="50" t="str">
        <f t="shared" si="26"/>
        <v>N</v>
      </c>
      <c r="J94" s="49">
        <f t="shared" si="27"/>
        <v>5.3586186696013689</v>
      </c>
      <c r="K94" s="50" t="str">
        <f t="shared" si="28"/>
        <v>W</v>
      </c>
      <c r="L94" s="47">
        <f t="shared" si="29"/>
        <v>8.493665832104444</v>
      </c>
      <c r="M94" s="47">
        <f t="shared" si="30"/>
        <v>320.88375104796393</v>
      </c>
      <c r="N94" s="47">
        <f t="shared" si="31"/>
        <v>0.21587113827653723</v>
      </c>
      <c r="O94" s="47">
        <f t="shared" si="32"/>
        <v>0.20920502092050014</v>
      </c>
      <c r="P94" s="47">
        <f t="shared" si="33"/>
        <v>-4.8814504881449201</v>
      </c>
      <c r="S94" s="15">
        <f t="shared" si="34"/>
        <v>3.0955921228855755E-2</v>
      </c>
      <c r="T94" s="15">
        <f t="shared" si="35"/>
        <v>1</v>
      </c>
      <c r="U94" s="15">
        <f t="shared" si="36"/>
        <v>6.5899594248567368</v>
      </c>
      <c r="V94" s="15">
        <f t="shared" si="37"/>
        <v>-5.3586186696013689</v>
      </c>
      <c r="W94" s="15">
        <f t="shared" si="43"/>
        <v>-39.116248952036074</v>
      </c>
    </row>
    <row r="95" spans="1:23" x14ac:dyDescent="0.2">
      <c r="A95" s="48">
        <f t="shared" si="41"/>
        <v>85</v>
      </c>
      <c r="B95" s="196">
        <v>1212</v>
      </c>
      <c r="C95" s="51">
        <v>0.68</v>
      </c>
      <c r="D95" s="51">
        <v>294.04000000000002</v>
      </c>
      <c r="E95" s="14">
        <f t="shared" si="42"/>
        <v>14.329999999999927</v>
      </c>
      <c r="F95" s="47">
        <f t="shared" si="39"/>
        <v>1211.9585403610101</v>
      </c>
      <c r="G95" s="47">
        <f t="shared" si="24"/>
        <v>6.6580047930023776</v>
      </c>
      <c r="H95" s="49">
        <f t="shared" si="25"/>
        <v>6.6580047930023776</v>
      </c>
      <c r="I95" s="50" t="str">
        <f t="shared" si="26"/>
        <v>N</v>
      </c>
      <c r="J95" s="49">
        <f t="shared" si="27"/>
        <v>5.5090042372530741</v>
      </c>
      <c r="K95" s="50" t="str">
        <f t="shared" si="28"/>
        <v>W</v>
      </c>
      <c r="L95" s="47">
        <f t="shared" si="29"/>
        <v>8.6416523599202346</v>
      </c>
      <c r="M95" s="47">
        <f t="shared" si="30"/>
        <v>320.39477050294823</v>
      </c>
      <c r="N95" s="47">
        <f t="shared" si="31"/>
        <v>0.28368705620748397</v>
      </c>
      <c r="O95" s="47">
        <f t="shared" si="32"/>
        <v>0.27913468248430034</v>
      </c>
      <c r="P95" s="47">
        <f t="shared" si="33"/>
        <v>-4.3963712491276947</v>
      </c>
      <c r="S95" s="15">
        <f t="shared" si="34"/>
        <v>4.0652355154532249E-2</v>
      </c>
      <c r="T95" s="15">
        <f t="shared" si="35"/>
        <v>1</v>
      </c>
      <c r="U95" s="15">
        <f t="shared" si="36"/>
        <v>6.6580047930023776</v>
      </c>
      <c r="V95" s="15">
        <f t="shared" si="37"/>
        <v>-5.5090042372530741</v>
      </c>
      <c r="W95" s="15">
        <f t="shared" si="43"/>
        <v>-39.605229497051774</v>
      </c>
    </row>
    <row r="96" spans="1:23" x14ac:dyDescent="0.2">
      <c r="A96" s="48">
        <f t="shared" si="41"/>
        <v>86</v>
      </c>
      <c r="B96" s="196">
        <v>1226.33</v>
      </c>
      <c r="C96" s="51">
        <v>0.71</v>
      </c>
      <c r="D96" s="51">
        <v>293.48</v>
      </c>
      <c r="E96" s="14">
        <f t="shared" si="42"/>
        <v>14.329999999999927</v>
      </c>
      <c r="F96" s="47">
        <f t="shared" si="39"/>
        <v>1226.2874856403453</v>
      </c>
      <c r="G96" s="47">
        <f t="shared" si="24"/>
        <v>6.7280200446615535</v>
      </c>
      <c r="H96" s="49">
        <f t="shared" si="25"/>
        <v>6.728020044661557</v>
      </c>
      <c r="I96" s="50" t="str">
        <f t="shared" si="26"/>
        <v>N</v>
      </c>
      <c r="J96" s="49">
        <f t="shared" si="27"/>
        <v>5.668096194169653</v>
      </c>
      <c r="K96" s="50" t="str">
        <f t="shared" si="28"/>
        <v>W</v>
      </c>
      <c r="L96" s="47">
        <f t="shared" si="29"/>
        <v>8.7973614332780592</v>
      </c>
      <c r="M96" s="47">
        <f t="shared" si="30"/>
        <v>319.88716066429936</v>
      </c>
      <c r="N96" s="47">
        <f t="shared" si="31"/>
        <v>0.21464784431328965</v>
      </c>
      <c r="O96" s="47">
        <f t="shared" si="32"/>
        <v>0.2093510118632245</v>
      </c>
      <c r="P96" s="47">
        <f t="shared" si="33"/>
        <v>-3.9078855547802172</v>
      </c>
      <c r="S96" s="15">
        <f t="shared" si="34"/>
        <v>3.0759036090094248E-2</v>
      </c>
      <c r="T96" s="15">
        <f t="shared" si="35"/>
        <v>1</v>
      </c>
      <c r="U96" s="15">
        <f t="shared" si="36"/>
        <v>6.728020044661557</v>
      </c>
      <c r="V96" s="15">
        <f t="shared" si="37"/>
        <v>-5.668096194169653</v>
      </c>
      <c r="W96" s="15">
        <f t="shared" si="43"/>
        <v>-40.112839335700613</v>
      </c>
    </row>
    <row r="97" spans="1:23" x14ac:dyDescent="0.2">
      <c r="A97" s="48">
        <f t="shared" si="41"/>
        <v>87</v>
      </c>
      <c r="B97" s="196">
        <v>1240.67</v>
      </c>
      <c r="C97" s="51">
        <v>0.75</v>
      </c>
      <c r="D97" s="51">
        <v>292.95999999999998</v>
      </c>
      <c r="E97" s="14">
        <f t="shared" si="42"/>
        <v>14.340000000000146</v>
      </c>
      <c r="F97" s="47">
        <f t="shared" si="39"/>
        <v>1240.6263208719513</v>
      </c>
      <c r="G97" s="47">
        <f t="shared" si="24"/>
        <v>6.8000300730648986</v>
      </c>
      <c r="H97" s="49">
        <f t="shared" si="25"/>
        <v>6.8000300730648995</v>
      </c>
      <c r="I97" s="50" t="str">
        <f t="shared" si="26"/>
        <v>N</v>
      </c>
      <c r="J97" s="49">
        <f t="shared" si="27"/>
        <v>5.8360039479018857</v>
      </c>
      <c r="K97" s="50" t="str">
        <f t="shared" si="28"/>
        <v>W</v>
      </c>
      <c r="L97" s="47">
        <f t="shared" si="29"/>
        <v>8.960990518604147</v>
      </c>
      <c r="M97" s="47">
        <f t="shared" si="30"/>
        <v>319.36274843681667</v>
      </c>
      <c r="N97" s="47">
        <f t="shared" si="31"/>
        <v>0.28273727965730239</v>
      </c>
      <c r="O97" s="47">
        <f t="shared" si="32"/>
        <v>0.27894002789400019</v>
      </c>
      <c r="P97" s="47">
        <f t="shared" si="33"/>
        <v>-3.6262203626222687</v>
      </c>
      <c r="S97" s="15">
        <f t="shared" si="34"/>
        <v>4.0544525902857571E-2</v>
      </c>
      <c r="T97" s="15">
        <f t="shared" si="35"/>
        <v>1</v>
      </c>
      <c r="U97" s="15">
        <f t="shared" si="36"/>
        <v>6.8000300730648995</v>
      </c>
      <c r="V97" s="15">
        <f t="shared" si="37"/>
        <v>-5.8360039479018857</v>
      </c>
      <c r="W97" s="15">
        <f t="shared" si="43"/>
        <v>-40.637251563183327</v>
      </c>
    </row>
    <row r="98" spans="1:23" x14ac:dyDescent="0.2">
      <c r="A98" s="48">
        <f t="shared" si="41"/>
        <v>88</v>
      </c>
      <c r="B98" s="196">
        <v>1255</v>
      </c>
      <c r="C98" s="51">
        <v>0.78</v>
      </c>
      <c r="D98" s="51">
        <v>292.49</v>
      </c>
      <c r="E98" s="14">
        <f t="shared" si="42"/>
        <v>14.329999999999927</v>
      </c>
      <c r="F98" s="47">
        <f t="shared" si="39"/>
        <v>1254.955043097277</v>
      </c>
      <c r="G98" s="47">
        <f t="shared" si="24"/>
        <v>6.8739258011727395</v>
      </c>
      <c r="H98" s="49">
        <f t="shared" si="25"/>
        <v>6.8739258011727404</v>
      </c>
      <c r="I98" s="50" t="str">
        <f t="shared" si="26"/>
        <v>N</v>
      </c>
      <c r="J98" s="49">
        <f t="shared" si="27"/>
        <v>6.0124809177214091</v>
      </c>
      <c r="K98" s="50" t="str">
        <f t="shared" si="28"/>
        <v>W</v>
      </c>
      <c r="L98" s="47">
        <f t="shared" si="29"/>
        <v>9.1324028987990005</v>
      </c>
      <c r="M98" s="47">
        <f t="shared" si="30"/>
        <v>318.82448196764528</v>
      </c>
      <c r="N98" s="47">
        <f t="shared" si="31"/>
        <v>0.21388007263747719</v>
      </c>
      <c r="O98" s="47">
        <f t="shared" si="32"/>
        <v>0.20935101186322527</v>
      </c>
      <c r="P98" s="47">
        <f t="shared" si="33"/>
        <v>-3.2798325191903199</v>
      </c>
      <c r="S98" s="15">
        <f t="shared" si="34"/>
        <v>3.0649014408950324E-2</v>
      </c>
      <c r="T98" s="15">
        <f t="shared" si="35"/>
        <v>1</v>
      </c>
      <c r="U98" s="15">
        <f t="shared" si="36"/>
        <v>6.8739258011727404</v>
      </c>
      <c r="V98" s="15">
        <f t="shared" si="37"/>
        <v>-6.0124809177214091</v>
      </c>
      <c r="W98" s="15">
        <f t="shared" si="43"/>
        <v>-41.175518032354709</v>
      </c>
    </row>
    <row r="99" spans="1:23" x14ac:dyDescent="0.2">
      <c r="A99" s="48">
        <f t="shared" si="41"/>
        <v>89</v>
      </c>
      <c r="B99" s="196">
        <v>1269.17</v>
      </c>
      <c r="C99" s="51">
        <v>0.78</v>
      </c>
      <c r="D99" s="51">
        <v>290.99</v>
      </c>
      <c r="E99" s="14">
        <f t="shared" si="42"/>
        <v>14.170000000000073</v>
      </c>
      <c r="F99" s="47">
        <f t="shared" si="39"/>
        <v>1269.1237300599032</v>
      </c>
      <c r="G99" s="47">
        <f t="shared" si="24"/>
        <v>6.9453683092504175</v>
      </c>
      <c r="H99" s="49">
        <f t="shared" si="25"/>
        <v>6.945368309250421</v>
      </c>
      <c r="I99" s="50" t="str">
        <f t="shared" si="26"/>
        <v>N</v>
      </c>
      <c r="J99" s="49">
        <f t="shared" si="27"/>
        <v>6.1916438260422106</v>
      </c>
      <c r="K99" s="50" t="str">
        <f t="shared" si="28"/>
        <v>W</v>
      </c>
      <c r="L99" s="47">
        <f t="shared" si="29"/>
        <v>9.3045469647751613</v>
      </c>
      <c r="M99" s="47">
        <f t="shared" si="30"/>
        <v>318.2836948894381</v>
      </c>
      <c r="N99" s="47">
        <f t="shared" si="31"/>
        <v>0.14410118891732021</v>
      </c>
      <c r="O99" s="47">
        <f t="shared" si="32"/>
        <v>0</v>
      </c>
      <c r="P99" s="47">
        <f t="shared" si="33"/>
        <v>-10.585744530698605</v>
      </c>
      <c r="S99" s="15">
        <f t="shared" si="34"/>
        <v>2.0419138469584375E-2</v>
      </c>
      <c r="T99" s="15">
        <f t="shared" si="35"/>
        <v>1</v>
      </c>
      <c r="U99" s="15">
        <f t="shared" si="36"/>
        <v>6.945368309250421</v>
      </c>
      <c r="V99" s="15">
        <f t="shared" si="37"/>
        <v>-6.1916438260422106</v>
      </c>
      <c r="W99" s="15">
        <f t="shared" si="43"/>
        <v>-41.716305110561883</v>
      </c>
    </row>
    <row r="100" spans="1:23" x14ac:dyDescent="0.2">
      <c r="A100" s="48">
        <f t="shared" si="41"/>
        <v>90</v>
      </c>
      <c r="B100" s="196">
        <v>1283.33</v>
      </c>
      <c r="C100" s="51">
        <v>0.78</v>
      </c>
      <c r="D100" s="51">
        <v>289.49</v>
      </c>
      <c r="E100" s="14">
        <f t="shared" si="42"/>
        <v>14.159999999999854</v>
      </c>
      <c r="F100" s="47">
        <f t="shared" si="39"/>
        <v>1283.2824179491611</v>
      </c>
      <c r="G100" s="47">
        <f t="shared" si="24"/>
        <v>7.0120493064753573</v>
      </c>
      <c r="H100" s="49">
        <f t="shared" si="25"/>
        <v>7.0120493064753617</v>
      </c>
      <c r="I100" s="50" t="str">
        <f t="shared" si="26"/>
        <v>N</v>
      </c>
      <c r="J100" s="49">
        <f t="shared" si="27"/>
        <v>6.3724877718989266</v>
      </c>
      <c r="K100" s="50" t="str">
        <f t="shared" si="28"/>
        <v>W</v>
      </c>
      <c r="L100" s="47">
        <f t="shared" si="29"/>
        <v>9.4750955604385823</v>
      </c>
      <c r="M100" s="47">
        <f t="shared" si="30"/>
        <v>317.73571846679698</v>
      </c>
      <c r="N100" s="47">
        <f t="shared" si="31"/>
        <v>0.14420295529367647</v>
      </c>
      <c r="O100" s="47">
        <f t="shared" si="32"/>
        <v>0</v>
      </c>
      <c r="P100" s="47">
        <f t="shared" si="33"/>
        <v>-10.593220338983159</v>
      </c>
      <c r="S100" s="15">
        <f t="shared" si="34"/>
        <v>2.0419138469584375E-2</v>
      </c>
      <c r="T100" s="15">
        <f t="shared" si="35"/>
        <v>1</v>
      </c>
      <c r="U100" s="15">
        <f t="shared" si="36"/>
        <v>7.0120493064753617</v>
      </c>
      <c r="V100" s="15">
        <f t="shared" si="37"/>
        <v>-6.3724877718989266</v>
      </c>
      <c r="W100" s="15">
        <f t="shared" si="43"/>
        <v>-42.264281533202997</v>
      </c>
    </row>
    <row r="101" spans="1:23" x14ac:dyDescent="0.2">
      <c r="A101" s="48">
        <f t="shared" si="41"/>
        <v>91</v>
      </c>
      <c r="B101" s="196">
        <v>1297.5</v>
      </c>
      <c r="C101" s="51">
        <v>0.79</v>
      </c>
      <c r="D101" s="51">
        <v>288.01</v>
      </c>
      <c r="E101" s="14">
        <f t="shared" si="42"/>
        <v>14.170000000000073</v>
      </c>
      <c r="F101" s="47">
        <f t="shared" si="39"/>
        <v>1297.4510879703344</v>
      </c>
      <c r="G101" s="47">
        <f t="shared" si="24"/>
        <v>7.074431551475989</v>
      </c>
      <c r="H101" s="49">
        <f t="shared" si="25"/>
        <v>7.0744315514759952</v>
      </c>
      <c r="I101" s="50" t="str">
        <f t="shared" si="26"/>
        <v>N</v>
      </c>
      <c r="J101" s="49">
        <f t="shared" si="27"/>
        <v>6.5563096188046774</v>
      </c>
      <c r="K101" s="50" t="str">
        <f t="shared" si="28"/>
        <v>W</v>
      </c>
      <c r="L101" s="47">
        <f t="shared" si="29"/>
        <v>9.645350050368819</v>
      </c>
      <c r="M101" s="47">
        <f t="shared" si="30"/>
        <v>317.17683797114921</v>
      </c>
      <c r="N101" s="47">
        <f t="shared" si="31"/>
        <v>0.15954511781396613</v>
      </c>
      <c r="O101" s="47">
        <f t="shared" si="32"/>
        <v>7.0571630204657426E-2</v>
      </c>
      <c r="P101" s="47">
        <f t="shared" si="33"/>
        <v>-10.444601270289418</v>
      </c>
      <c r="S101" s="15">
        <f t="shared" si="34"/>
        <v>2.2607543194239119E-2</v>
      </c>
      <c r="T101" s="15">
        <f t="shared" si="35"/>
        <v>1</v>
      </c>
      <c r="U101" s="15">
        <f t="shared" si="36"/>
        <v>7.0744315514759952</v>
      </c>
      <c r="V101" s="15">
        <f t="shared" si="37"/>
        <v>-6.5563096188046774</v>
      </c>
      <c r="W101" s="15">
        <f t="shared" si="43"/>
        <v>-42.823162028850774</v>
      </c>
    </row>
    <row r="102" spans="1:23" x14ac:dyDescent="0.2">
      <c r="A102" s="48">
        <f t="shared" si="41"/>
        <v>92</v>
      </c>
      <c r="B102" s="196">
        <v>1311.67</v>
      </c>
      <c r="C102" s="51">
        <v>0.79</v>
      </c>
      <c r="D102" s="51">
        <v>286.54000000000002</v>
      </c>
      <c r="E102" s="14">
        <f t="shared" si="42"/>
        <v>14.170000000000073</v>
      </c>
      <c r="F102" s="47">
        <f t="shared" si="39"/>
        <v>1311.6197410500545</v>
      </c>
      <c r="G102" s="47">
        <f t="shared" si="24"/>
        <v>7.1324438686091316</v>
      </c>
      <c r="H102" s="49">
        <f t="shared" si="25"/>
        <v>7.1324438686091316</v>
      </c>
      <c r="I102" s="50" t="str">
        <f t="shared" si="26"/>
        <v>N</v>
      </c>
      <c r="J102" s="49">
        <f t="shared" si="27"/>
        <v>6.7428523662735387</v>
      </c>
      <c r="K102" s="50" t="str">
        <f t="shared" si="28"/>
        <v>W</v>
      </c>
      <c r="L102" s="47">
        <f t="shared" si="29"/>
        <v>9.815182808904817</v>
      </c>
      <c r="M102" s="47">
        <f t="shared" si="30"/>
        <v>316.60833218765146</v>
      </c>
      <c r="N102" s="47">
        <f t="shared" si="31"/>
        <v>0.14302971504677922</v>
      </c>
      <c r="O102" s="47">
        <f t="shared" si="32"/>
        <v>0</v>
      </c>
      <c r="P102" s="47">
        <f t="shared" si="33"/>
        <v>-10.374029640084425</v>
      </c>
      <c r="S102" s="15">
        <f t="shared" si="34"/>
        <v>2.026731062212872E-2</v>
      </c>
      <c r="T102" s="15">
        <f t="shared" si="35"/>
        <v>1</v>
      </c>
      <c r="U102" s="15">
        <f t="shared" si="36"/>
        <v>7.1324438686091316</v>
      </c>
      <c r="V102" s="15">
        <f t="shared" si="37"/>
        <v>-6.7428523662735387</v>
      </c>
      <c r="W102" s="15">
        <f t="shared" si="43"/>
        <v>-43.391667812348544</v>
      </c>
    </row>
    <row r="103" spans="1:23" x14ac:dyDescent="0.2">
      <c r="A103" s="48">
        <f t="shared" si="41"/>
        <v>93</v>
      </c>
      <c r="B103" s="196">
        <v>1325.83</v>
      </c>
      <c r="C103" s="51">
        <v>0.8</v>
      </c>
      <c r="D103" s="51">
        <v>285.08</v>
      </c>
      <c r="E103" s="14">
        <f t="shared" si="42"/>
        <v>14.159999999999854</v>
      </c>
      <c r="F103" s="47">
        <f t="shared" si="39"/>
        <v>1325.7783779351719</v>
      </c>
      <c r="G103" s="47">
        <f t="shared" si="24"/>
        <v>7.1859519720847294</v>
      </c>
      <c r="H103" s="49">
        <f t="shared" si="25"/>
        <v>7.1859519720847276</v>
      </c>
      <c r="I103" s="50" t="str">
        <f t="shared" si="26"/>
        <v>N</v>
      </c>
      <c r="J103" s="49">
        <f t="shared" si="27"/>
        <v>6.9318778828869316</v>
      </c>
      <c r="K103" s="50" t="str">
        <f t="shared" si="28"/>
        <v>W</v>
      </c>
      <c r="L103" s="47">
        <f t="shared" si="29"/>
        <v>9.9844297147290995</v>
      </c>
      <c r="M103" s="47">
        <f t="shared" si="30"/>
        <v>316.03102260282742</v>
      </c>
      <c r="N103" s="47">
        <f t="shared" si="31"/>
        <v>0.15953627134998519</v>
      </c>
      <c r="O103" s="47">
        <f t="shared" si="32"/>
        <v>7.0621468926554465E-2</v>
      </c>
      <c r="P103" s="47">
        <f t="shared" si="33"/>
        <v>-10.310734463277198</v>
      </c>
      <c r="S103" s="15">
        <f t="shared" si="34"/>
        <v>2.2590336023157669E-2</v>
      </c>
      <c r="T103" s="15">
        <f t="shared" si="35"/>
        <v>1</v>
      </c>
      <c r="U103" s="15">
        <f t="shared" si="36"/>
        <v>7.1859519720847276</v>
      </c>
      <c r="V103" s="15">
        <f t="shared" si="37"/>
        <v>-6.9318778828869316</v>
      </c>
      <c r="W103" s="15">
        <f t="shared" si="43"/>
        <v>-43.968977397172594</v>
      </c>
    </row>
    <row r="104" spans="1:23" x14ac:dyDescent="0.2">
      <c r="A104" s="48">
        <f t="shared" si="41"/>
        <v>94</v>
      </c>
      <c r="B104" s="196">
        <v>1340</v>
      </c>
      <c r="C104" s="51">
        <v>0.8</v>
      </c>
      <c r="D104" s="51">
        <v>283.64</v>
      </c>
      <c r="E104" s="14">
        <f t="shared" si="42"/>
        <v>14.170000000000073</v>
      </c>
      <c r="F104" s="47">
        <f t="shared" si="39"/>
        <v>1339.9469967003838</v>
      </c>
      <c r="G104" s="47">
        <f t="shared" si="24"/>
        <v>7.2350161297603206</v>
      </c>
      <c r="H104" s="49">
        <f t="shared" si="25"/>
        <v>7.2350161297603188</v>
      </c>
      <c r="I104" s="50" t="str">
        <f t="shared" si="26"/>
        <v>N</v>
      </c>
      <c r="J104" s="49">
        <f t="shared" si="27"/>
        <v>7.1235255119924572</v>
      </c>
      <c r="K104" s="50" t="str">
        <f t="shared" si="28"/>
        <v>W</v>
      </c>
      <c r="L104" s="47">
        <f t="shared" si="29"/>
        <v>10.153328228610526</v>
      </c>
      <c r="M104" s="47">
        <f t="shared" si="30"/>
        <v>315.44487898826537</v>
      </c>
      <c r="N104" s="47">
        <f t="shared" si="31"/>
        <v>0.1418843376100479</v>
      </c>
      <c r="O104" s="47">
        <f t="shared" si="32"/>
        <v>0</v>
      </c>
      <c r="P104" s="47">
        <f t="shared" si="33"/>
        <v>-10.162314749470644</v>
      </c>
      <c r="S104" s="15">
        <f t="shared" si="34"/>
        <v>2.010501063934389E-2</v>
      </c>
      <c r="T104" s="15">
        <f t="shared" si="35"/>
        <v>1</v>
      </c>
      <c r="U104" s="15">
        <f t="shared" si="36"/>
        <v>7.2350161297603188</v>
      </c>
      <c r="V104" s="15">
        <f t="shared" si="37"/>
        <v>-7.1235255119924572</v>
      </c>
      <c r="W104" s="15">
        <f t="shared" si="43"/>
        <v>-44.555121011734656</v>
      </c>
    </row>
    <row r="105" spans="1:23" x14ac:dyDescent="0.2">
      <c r="A105" s="48">
        <f t="shared" si="41"/>
        <v>95</v>
      </c>
      <c r="B105" s="196">
        <v>1354</v>
      </c>
      <c r="C105" s="51">
        <v>0.74</v>
      </c>
      <c r="D105" s="51">
        <v>282.51</v>
      </c>
      <c r="E105" s="14">
        <f t="shared" si="42"/>
        <v>14</v>
      </c>
      <c r="F105" s="47">
        <f t="shared" si="39"/>
        <v>1353.9457305468177</v>
      </c>
      <c r="G105" s="47">
        <f t="shared" si="24"/>
        <v>7.2776468641911363</v>
      </c>
      <c r="H105" s="49">
        <f t="shared" si="25"/>
        <v>7.277646864191138</v>
      </c>
      <c r="I105" s="50" t="str">
        <f t="shared" si="26"/>
        <v>N</v>
      </c>
      <c r="J105" s="49">
        <f t="shared" si="27"/>
        <v>7.3067634610098935</v>
      </c>
      <c r="K105" s="50" t="str">
        <f t="shared" si="28"/>
        <v>W</v>
      </c>
      <c r="L105" s="47">
        <f t="shared" si="29"/>
        <v>10.312755992217618</v>
      </c>
      <c r="M105" s="47">
        <f t="shared" si="30"/>
        <v>314.88561375757268</v>
      </c>
      <c r="N105" s="47">
        <f t="shared" si="31"/>
        <v>0.44206418401503189</v>
      </c>
      <c r="O105" s="47">
        <f t="shared" si="32"/>
        <v>-0.42857142857142899</v>
      </c>
      <c r="P105" s="47">
        <f t="shared" si="33"/>
        <v>-8.0714285714285392</v>
      </c>
      <c r="S105" s="15">
        <f t="shared" si="34"/>
        <v>6.1888985762104463E-2</v>
      </c>
      <c r="T105" s="15">
        <f t="shared" si="35"/>
        <v>1</v>
      </c>
      <c r="U105" s="15">
        <f t="shared" si="36"/>
        <v>7.277646864191138</v>
      </c>
      <c r="V105" s="15">
        <f t="shared" si="37"/>
        <v>-7.3067634610098935</v>
      </c>
      <c r="W105" s="15">
        <f t="shared" si="43"/>
        <v>-45.114386242427308</v>
      </c>
    </row>
    <row r="106" spans="1:23" x14ac:dyDescent="0.2">
      <c r="A106" s="48">
        <f t="shared" si="41"/>
        <v>96</v>
      </c>
      <c r="B106" s="196">
        <v>1368</v>
      </c>
      <c r="C106" s="51">
        <v>0.68</v>
      </c>
      <c r="D106" s="51">
        <v>281.2</v>
      </c>
      <c r="E106" s="14">
        <f t="shared" si="42"/>
        <v>14</v>
      </c>
      <c r="F106" s="47">
        <f t="shared" si="39"/>
        <v>1367.9446537381409</v>
      </c>
      <c r="G106" s="47">
        <f t="shared" si="24"/>
        <v>7.3133657681652462</v>
      </c>
      <c r="H106" s="49">
        <f t="shared" si="25"/>
        <v>7.3133657681652533</v>
      </c>
      <c r="I106" s="50" t="str">
        <f t="shared" si="26"/>
        <v>N</v>
      </c>
      <c r="J106" s="49">
        <f t="shared" si="27"/>
        <v>7.4765161718717854</v>
      </c>
      <c r="K106" s="50" t="str">
        <f t="shared" si="28"/>
        <v>W</v>
      </c>
      <c r="L106" s="47">
        <f t="shared" si="29"/>
        <v>10.458662100251241</v>
      </c>
      <c r="M106" s="47">
        <f t="shared" si="30"/>
        <v>314.36798343274961</v>
      </c>
      <c r="N106" s="47">
        <f t="shared" si="31"/>
        <v>0.44395169419031938</v>
      </c>
      <c r="O106" s="47">
        <f t="shared" si="32"/>
        <v>-0.42857142857142816</v>
      </c>
      <c r="P106" s="47">
        <f t="shared" si="33"/>
        <v>-9.3571428571428736</v>
      </c>
      <c r="S106" s="15">
        <f t="shared" si="34"/>
        <v>6.2153237186644721E-2</v>
      </c>
      <c r="T106" s="15">
        <f t="shared" si="35"/>
        <v>1</v>
      </c>
      <c r="U106" s="15">
        <f t="shared" si="36"/>
        <v>7.3133657681652533</v>
      </c>
      <c r="V106" s="15">
        <f t="shared" si="37"/>
        <v>-7.4765161718717854</v>
      </c>
      <c r="W106" s="15">
        <f t="shared" si="43"/>
        <v>-45.632016567250361</v>
      </c>
    </row>
    <row r="107" spans="1:23" x14ac:dyDescent="0.2">
      <c r="A107" s="48">
        <f t="shared" si="41"/>
        <v>97</v>
      </c>
      <c r="B107" s="196">
        <v>1382</v>
      </c>
      <c r="C107" s="51">
        <v>0.62</v>
      </c>
      <c r="D107" s="51">
        <v>279.63</v>
      </c>
      <c r="E107" s="14">
        <f t="shared" si="42"/>
        <v>14</v>
      </c>
      <c r="F107" s="47">
        <f t="shared" si="39"/>
        <v>1381.943750922818</v>
      </c>
      <c r="G107" s="47">
        <f t="shared" si="24"/>
        <v>7.3421730644404537</v>
      </c>
      <c r="H107" s="49">
        <f t="shared" si="25"/>
        <v>7.342173064440451</v>
      </c>
      <c r="I107" s="50" t="str">
        <f t="shared" si="26"/>
        <v>N</v>
      </c>
      <c r="J107" s="49">
        <f t="shared" si="27"/>
        <v>7.6326881751265674</v>
      </c>
      <c r="K107" s="50" t="str">
        <f t="shared" si="28"/>
        <v>W</v>
      </c>
      <c r="L107" s="47">
        <f t="shared" si="29"/>
        <v>10.590818386079134</v>
      </c>
      <c r="M107" s="47">
        <f t="shared" si="30"/>
        <v>313.88859057290057</v>
      </c>
      <c r="N107" s="47">
        <f t="shared" si="31"/>
        <v>0.44701536451819324</v>
      </c>
      <c r="O107" s="47">
        <f t="shared" si="32"/>
        <v>-0.42857142857142899</v>
      </c>
      <c r="P107" s="47">
        <f t="shared" si="33"/>
        <v>-11.214285714285666</v>
      </c>
      <c r="S107" s="15">
        <f t="shared" si="34"/>
        <v>6.2582151032547051E-2</v>
      </c>
      <c r="T107" s="15">
        <f t="shared" si="35"/>
        <v>1</v>
      </c>
      <c r="U107" s="15">
        <f t="shared" si="36"/>
        <v>7.342173064440451</v>
      </c>
      <c r="V107" s="15">
        <f t="shared" si="37"/>
        <v>-7.6326881751265674</v>
      </c>
      <c r="W107" s="15">
        <f t="shared" si="43"/>
        <v>-46.111409427099446</v>
      </c>
    </row>
    <row r="108" spans="1:23" x14ac:dyDescent="0.2">
      <c r="A108" s="48">
        <f t="shared" si="41"/>
        <v>98</v>
      </c>
      <c r="B108" s="196">
        <v>1396</v>
      </c>
      <c r="C108" s="51">
        <v>0.56000000000000005</v>
      </c>
      <c r="D108" s="51">
        <v>277.74</v>
      </c>
      <c r="E108" s="14">
        <f t="shared" ref="E108:E123" si="44">IF($B108="","",B108-B107)</f>
        <v>14</v>
      </c>
      <c r="F108" s="47">
        <f t="shared" si="39"/>
        <v>1395.9430067491221</v>
      </c>
      <c r="G108" s="47">
        <f t="shared" si="24"/>
        <v>7.3640583064699348</v>
      </c>
      <c r="H108" s="49">
        <f t="shared" si="25"/>
        <v>7.3640583064699419</v>
      </c>
      <c r="I108" s="50" t="str">
        <f t="shared" si="26"/>
        <v>N</v>
      </c>
      <c r="J108" s="49">
        <f t="shared" si="27"/>
        <v>7.7751591300085243</v>
      </c>
      <c r="K108" s="50" t="str">
        <f t="shared" si="28"/>
        <v>W</v>
      </c>
      <c r="L108" s="47">
        <f t="shared" si="29"/>
        <v>10.708989412547005</v>
      </c>
      <c r="M108" s="47">
        <f t="shared" si="30"/>
        <v>313.44453286162923</v>
      </c>
      <c r="N108" s="47">
        <f t="shared" si="31"/>
        <v>0.45049570444479281</v>
      </c>
      <c r="O108" s="47">
        <f t="shared" si="32"/>
        <v>-0.42857142857142816</v>
      </c>
      <c r="P108" s="47">
        <f t="shared" si="33"/>
        <v>-13.499999999999904</v>
      </c>
      <c r="S108" s="15">
        <f t="shared" si="34"/>
        <v>6.3069398622270997E-2</v>
      </c>
      <c r="T108" s="15">
        <f t="shared" si="35"/>
        <v>1</v>
      </c>
      <c r="U108" s="15">
        <f t="shared" si="36"/>
        <v>7.3640583064699419</v>
      </c>
      <c r="V108" s="15">
        <f t="shared" si="37"/>
        <v>-7.7751591300085243</v>
      </c>
      <c r="W108" s="15">
        <f t="shared" ref="W108:W123" si="45">DEGREES(ATAN(V108/U108))</f>
        <v>-46.555467138370744</v>
      </c>
    </row>
    <row r="109" spans="1:23" x14ac:dyDescent="0.2">
      <c r="A109" s="48">
        <f t="shared" si="41"/>
        <v>99</v>
      </c>
      <c r="B109" s="196">
        <v>1410</v>
      </c>
      <c r="C109" s="51">
        <v>0.51</v>
      </c>
      <c r="D109" s="51">
        <v>275.41000000000003</v>
      </c>
      <c r="E109" s="14">
        <f t="shared" si="44"/>
        <v>14</v>
      </c>
      <c r="F109" s="47">
        <f t="shared" si="39"/>
        <v>1409.9423950970665</v>
      </c>
      <c r="G109" s="47">
        <f t="shared" si="24"/>
        <v>7.3791468848395798</v>
      </c>
      <c r="H109" s="49">
        <f t="shared" si="25"/>
        <v>7.3791468848395834</v>
      </c>
      <c r="I109" s="50" t="str">
        <f t="shared" si="26"/>
        <v>N</v>
      </c>
      <c r="J109" s="49">
        <f t="shared" si="27"/>
        <v>7.9049815240818564</v>
      </c>
      <c r="K109" s="50" t="str">
        <f t="shared" si="28"/>
        <v>W</v>
      </c>
      <c r="L109" s="47">
        <f t="shared" si="29"/>
        <v>10.813905013643925</v>
      </c>
      <c r="M109" s="47">
        <f t="shared" si="30"/>
        <v>313.02957510516842</v>
      </c>
      <c r="N109" s="47">
        <f t="shared" si="31"/>
        <v>0.38941535573475061</v>
      </c>
      <c r="O109" s="47">
        <f t="shared" si="32"/>
        <v>-0.35714285714285748</v>
      </c>
      <c r="P109" s="47">
        <f t="shared" si="33"/>
        <v>-16.642857142857029</v>
      </c>
      <c r="S109" s="15">
        <f t="shared" si="34"/>
        <v>5.4518149802865082E-2</v>
      </c>
      <c r="T109" s="15">
        <f t="shared" si="35"/>
        <v>1</v>
      </c>
      <c r="U109" s="15">
        <f t="shared" si="36"/>
        <v>7.3791468848395834</v>
      </c>
      <c r="V109" s="15">
        <f t="shared" si="37"/>
        <v>-7.9049815240818564</v>
      </c>
      <c r="W109" s="15">
        <f t="shared" si="45"/>
        <v>-46.970424894831567</v>
      </c>
    </row>
    <row r="110" spans="1:23" x14ac:dyDescent="0.2">
      <c r="A110" s="48">
        <f t="shared" si="41"/>
        <v>100</v>
      </c>
      <c r="B110" s="196">
        <v>1424</v>
      </c>
      <c r="C110" s="51">
        <v>0.45</v>
      </c>
      <c r="D110" s="51">
        <v>272.49</v>
      </c>
      <c r="E110" s="14">
        <f t="shared" si="44"/>
        <v>14</v>
      </c>
      <c r="F110" s="47">
        <f t="shared" si="39"/>
        <v>1423.9419018939429</v>
      </c>
      <c r="G110" s="47">
        <f t="shared" si="24"/>
        <v>7.3874098486351496</v>
      </c>
      <c r="H110" s="49">
        <f t="shared" si="25"/>
        <v>7.3874098486351487</v>
      </c>
      <c r="I110" s="50" t="str">
        <f t="shared" si="26"/>
        <v>N</v>
      </c>
      <c r="J110" s="49">
        <f t="shared" si="27"/>
        <v>8.021936806373871</v>
      </c>
      <c r="K110" s="50" t="str">
        <f t="shared" si="28"/>
        <v>W</v>
      </c>
      <c r="L110" s="47">
        <f t="shared" si="29"/>
        <v>10.90528745137731</v>
      </c>
      <c r="M110" s="47">
        <f t="shared" si="30"/>
        <v>312.64200327787739</v>
      </c>
      <c r="N110" s="47">
        <f t="shared" si="31"/>
        <v>0.4626859893385441</v>
      </c>
      <c r="O110" s="47">
        <f t="shared" si="32"/>
        <v>-0.4285714285714286</v>
      </c>
      <c r="P110" s="47">
        <f t="shared" si="33"/>
        <v>-20.857142857142971</v>
      </c>
      <c r="S110" s="15">
        <f t="shared" si="34"/>
        <v>6.4776038507396175E-2</v>
      </c>
      <c r="T110" s="15">
        <f t="shared" si="35"/>
        <v>1</v>
      </c>
      <c r="U110" s="15">
        <f t="shared" si="36"/>
        <v>7.3874098486351487</v>
      </c>
      <c r="V110" s="15">
        <f t="shared" si="37"/>
        <v>-8.021936806373871</v>
      </c>
      <c r="W110" s="15">
        <f t="shared" si="45"/>
        <v>-47.357996722122635</v>
      </c>
    </row>
    <row r="111" spans="1:23" x14ac:dyDescent="0.2">
      <c r="A111" s="48">
        <f t="shared" si="41"/>
        <v>101</v>
      </c>
      <c r="B111" s="196">
        <v>1438.67</v>
      </c>
      <c r="C111" s="51">
        <v>0.39</v>
      </c>
      <c r="D111" s="51">
        <v>137.15</v>
      </c>
      <c r="E111" s="14">
        <f t="shared" si="44"/>
        <v>14.670000000000073</v>
      </c>
      <c r="F111" s="47">
        <f t="shared" si="39"/>
        <v>1438.6117307640338</v>
      </c>
      <c r="G111" s="47">
        <f t="shared" si="24"/>
        <v>7.3533085325235019</v>
      </c>
      <c r="H111" s="49">
        <f t="shared" si="25"/>
        <v>7.3533085325235081</v>
      </c>
      <c r="I111" s="50" t="str">
        <f t="shared" si="26"/>
        <v>N</v>
      </c>
      <c r="J111" s="49">
        <f t="shared" si="27"/>
        <v>8.0455364618413228</v>
      </c>
      <c r="K111" s="50" t="str">
        <f t="shared" si="28"/>
        <v>W</v>
      </c>
      <c r="L111" s="47">
        <f t="shared" si="29"/>
        <v>10.899623999629585</v>
      </c>
      <c r="M111" s="47">
        <f t="shared" si="30"/>
        <v>312.42610208039696</v>
      </c>
      <c r="N111" s="47">
        <f t="shared" si="31"/>
        <v>5.2988582571732676</v>
      </c>
      <c r="O111" s="47">
        <f t="shared" si="32"/>
        <v>-0.4089979550102229</v>
      </c>
      <c r="P111" s="47">
        <f t="shared" si="33"/>
        <v>-922.56305385139285</v>
      </c>
      <c r="S111" s="15">
        <f t="shared" si="34"/>
        <v>0.77734250632732227</v>
      </c>
      <c r="T111" s="15">
        <f t="shared" si="35"/>
        <v>1.0000153393273539</v>
      </c>
      <c r="U111" s="15">
        <f t="shared" si="36"/>
        <v>7.3533085325235081</v>
      </c>
      <c r="V111" s="15">
        <f t="shared" si="37"/>
        <v>-8.0455364618413228</v>
      </c>
      <c r="W111" s="15">
        <f t="shared" si="45"/>
        <v>-47.573897919603013</v>
      </c>
    </row>
    <row r="112" spans="1:23" x14ac:dyDescent="0.2">
      <c r="A112" s="48">
        <f t="shared" si="41"/>
        <v>102</v>
      </c>
      <c r="B112" s="196">
        <v>1453.33</v>
      </c>
      <c r="C112" s="51">
        <v>0.83</v>
      </c>
      <c r="D112" s="51">
        <v>121.92</v>
      </c>
      <c r="E112" s="14">
        <f t="shared" si="44"/>
        <v>14.659999999999854</v>
      </c>
      <c r="F112" s="47">
        <f t="shared" si="39"/>
        <v>1453.2708723695905</v>
      </c>
      <c r="G112" s="47">
        <f t="shared" si="24"/>
        <v>7.2605881430574835</v>
      </c>
      <c r="H112" s="49">
        <f t="shared" si="25"/>
        <v>7.2605881430574852</v>
      </c>
      <c r="I112" s="50" t="str">
        <f t="shared" si="26"/>
        <v>N</v>
      </c>
      <c r="J112" s="49">
        <f t="shared" si="27"/>
        <v>7.9214797107536512</v>
      </c>
      <c r="K112" s="50" t="str">
        <f t="shared" si="28"/>
        <v>W</v>
      </c>
      <c r="L112" s="47">
        <f t="shared" si="29"/>
        <v>10.745509806006819</v>
      </c>
      <c r="M112" s="47">
        <f t="shared" si="30"/>
        <v>312.50742739557103</v>
      </c>
      <c r="N112" s="47">
        <f t="shared" si="31"/>
        <v>3.1727143925375909</v>
      </c>
      <c r="O112" s="47">
        <f t="shared" si="32"/>
        <v>3.0013642564802478</v>
      </c>
      <c r="P112" s="47">
        <f t="shared" si="33"/>
        <v>-103.88813096862316</v>
      </c>
      <c r="S112" s="15">
        <f t="shared" si="34"/>
        <v>0.46511992994600615</v>
      </c>
      <c r="T112" s="15">
        <f t="shared" si="35"/>
        <v>1.0000054916929764</v>
      </c>
      <c r="U112" s="15">
        <f t="shared" si="36"/>
        <v>7.2605881430574852</v>
      </c>
      <c r="V112" s="15">
        <f t="shared" si="37"/>
        <v>-7.9214797107536512</v>
      </c>
      <c r="W112" s="15">
        <f t="shared" si="45"/>
        <v>-47.492572604428979</v>
      </c>
    </row>
    <row r="113" spans="1:23" x14ac:dyDescent="0.2">
      <c r="A113" s="48">
        <f t="shared" si="41"/>
        <v>103</v>
      </c>
      <c r="B113" s="196">
        <v>1468</v>
      </c>
      <c r="C113" s="51">
        <v>0.72</v>
      </c>
      <c r="D113" s="51">
        <v>124.32</v>
      </c>
      <c r="E113" s="14">
        <f t="shared" si="44"/>
        <v>14.670000000000073</v>
      </c>
      <c r="F113" s="47">
        <f t="shared" si="39"/>
        <v>1467.9395236139601</v>
      </c>
      <c r="G113" s="47">
        <f t="shared" si="24"/>
        <v>7.152440761599661</v>
      </c>
      <c r="H113" s="49">
        <f t="shared" si="25"/>
        <v>7.1524407615996637</v>
      </c>
      <c r="I113" s="50" t="str">
        <f t="shared" si="26"/>
        <v>N</v>
      </c>
      <c r="J113" s="49">
        <f t="shared" si="27"/>
        <v>7.7551687797132312</v>
      </c>
      <c r="K113" s="50" t="str">
        <f t="shared" si="28"/>
        <v>W</v>
      </c>
      <c r="L113" s="47">
        <f t="shared" si="29"/>
        <v>10.549883963818331</v>
      </c>
      <c r="M113" s="47">
        <f t="shared" si="30"/>
        <v>312.68474127197101</v>
      </c>
      <c r="N113" s="47">
        <f t="shared" si="31"/>
        <v>0.7816371309190786</v>
      </c>
      <c r="O113" s="47">
        <f t="shared" si="32"/>
        <v>-0.74982958418540857</v>
      </c>
      <c r="P113" s="47">
        <f t="shared" si="33"/>
        <v>16.359918200408856</v>
      </c>
      <c r="S113" s="15">
        <f t="shared" si="34"/>
        <v>0.1146661671058294</v>
      </c>
      <c r="T113" s="15">
        <f t="shared" si="35"/>
        <v>1</v>
      </c>
      <c r="U113" s="15">
        <f t="shared" si="36"/>
        <v>7.1524407615996637</v>
      </c>
      <c r="V113" s="15">
        <f t="shared" si="37"/>
        <v>-7.7551687797132312</v>
      </c>
      <c r="W113" s="15">
        <f t="shared" si="45"/>
        <v>-47.315258728028994</v>
      </c>
    </row>
    <row r="114" spans="1:23" x14ac:dyDescent="0.2">
      <c r="A114" s="48">
        <f t="shared" si="41"/>
        <v>104</v>
      </c>
      <c r="B114" s="196">
        <v>1482.67</v>
      </c>
      <c r="C114" s="51">
        <v>0.59</v>
      </c>
      <c r="D114" s="51">
        <v>127.83</v>
      </c>
      <c r="E114" s="14">
        <f t="shared" si="44"/>
        <v>14.670000000000073</v>
      </c>
      <c r="F114" s="47">
        <f t="shared" si="39"/>
        <v>1482.6085555847465</v>
      </c>
      <c r="G114" s="47">
        <f t="shared" si="24"/>
        <v>7.0541485564325486</v>
      </c>
      <c r="H114" s="49">
        <f t="shared" si="25"/>
        <v>7.0541485564325459</v>
      </c>
      <c r="I114" s="50" t="str">
        <f t="shared" si="26"/>
        <v>N</v>
      </c>
      <c r="J114" s="49">
        <f t="shared" si="27"/>
        <v>7.6193873816862752</v>
      </c>
      <c r="K114" s="50" t="str">
        <f t="shared" si="28"/>
        <v>W</v>
      </c>
      <c r="L114" s="47">
        <f t="shared" si="29"/>
        <v>10.3834520236971</v>
      </c>
      <c r="M114" s="47">
        <f t="shared" si="30"/>
        <v>312.79400174787276</v>
      </c>
      <c r="N114" s="47">
        <f t="shared" si="31"/>
        <v>0.92700368640696162</v>
      </c>
      <c r="O114" s="47">
        <f t="shared" si="32"/>
        <v>-0.88616223585548293</v>
      </c>
      <c r="P114" s="47">
        <f t="shared" si="33"/>
        <v>23.926380368098073</v>
      </c>
      <c r="S114" s="15">
        <f t="shared" si="34"/>
        <v>0.13599144079590195</v>
      </c>
      <c r="T114" s="15">
        <f t="shared" si="35"/>
        <v>1</v>
      </c>
      <c r="U114" s="15">
        <f t="shared" si="36"/>
        <v>7.0541485564325459</v>
      </c>
      <c r="V114" s="15">
        <f t="shared" si="37"/>
        <v>-7.6193873816862752</v>
      </c>
      <c r="W114" s="15">
        <f t="shared" si="45"/>
        <v>-47.205998252127266</v>
      </c>
    </row>
    <row r="115" spans="1:23" x14ac:dyDescent="0.2">
      <c r="A115" s="48">
        <f t="shared" si="41"/>
        <v>105</v>
      </c>
      <c r="B115" s="196">
        <v>1497.33</v>
      </c>
      <c r="C115" s="51">
        <v>0.46</v>
      </c>
      <c r="D115" s="51">
        <v>132.79</v>
      </c>
      <c r="E115" s="14">
        <f t="shared" si="44"/>
        <v>14.659999999999854</v>
      </c>
      <c r="F115" s="47">
        <f t="shared" si="39"/>
        <v>1497.2679307275837</v>
      </c>
      <c r="G115" s="47">
        <f t="shared" si="24"/>
        <v>6.9678792897205435</v>
      </c>
      <c r="H115" s="49">
        <f t="shared" si="25"/>
        <v>6.9678792897205488</v>
      </c>
      <c r="I115" s="50" t="str">
        <f t="shared" si="26"/>
        <v>N</v>
      </c>
      <c r="J115" s="49">
        <f t="shared" si="27"/>
        <v>7.5165857738240556</v>
      </c>
      <c r="K115" s="50" t="str">
        <f t="shared" si="28"/>
        <v>W</v>
      </c>
      <c r="L115" s="47">
        <f t="shared" si="29"/>
        <v>10.249409909422626</v>
      </c>
      <c r="M115" s="47">
        <f t="shared" si="30"/>
        <v>312.83053501763686</v>
      </c>
      <c r="N115" s="47">
        <f t="shared" si="31"/>
        <v>0.93857887341096558</v>
      </c>
      <c r="O115" s="47">
        <f t="shared" si="32"/>
        <v>-0.88676671214189118</v>
      </c>
      <c r="P115" s="47">
        <f t="shared" si="33"/>
        <v>33.833560709413661</v>
      </c>
      <c r="S115" s="15">
        <f t="shared" si="34"/>
        <v>0.13759566284204619</v>
      </c>
      <c r="T115" s="15">
        <f t="shared" si="35"/>
        <v>1</v>
      </c>
      <c r="U115" s="15">
        <f t="shared" si="36"/>
        <v>6.9678792897205488</v>
      </c>
      <c r="V115" s="15">
        <f t="shared" si="37"/>
        <v>-7.5165857738240556</v>
      </c>
      <c r="W115" s="15">
        <f t="shared" si="45"/>
        <v>-47.169464982363117</v>
      </c>
    </row>
    <row r="116" spans="1:23" x14ac:dyDescent="0.2">
      <c r="A116" s="48">
        <f t="shared" si="41"/>
        <v>106</v>
      </c>
      <c r="B116" s="196">
        <v>1512</v>
      </c>
      <c r="C116" s="51">
        <v>0.5</v>
      </c>
      <c r="D116" s="51">
        <v>134.83000000000001</v>
      </c>
      <c r="E116" s="14">
        <f t="shared" si="44"/>
        <v>14.670000000000073</v>
      </c>
      <c r="F116" s="47">
        <f t="shared" si="39"/>
        <v>1511.937415038313</v>
      </c>
      <c r="G116" s="47">
        <f t="shared" si="24"/>
        <v>6.88274873417883</v>
      </c>
      <c r="H116" s="49">
        <f t="shared" si="25"/>
        <v>6.8827487341788292</v>
      </c>
      <c r="I116" s="50" t="str">
        <f t="shared" si="26"/>
        <v>N</v>
      </c>
      <c r="J116" s="49">
        <f t="shared" si="27"/>
        <v>7.4279751351822956</v>
      </c>
      <c r="K116" s="50" t="str">
        <f t="shared" si="28"/>
        <v>W</v>
      </c>
      <c r="L116" s="47">
        <f t="shared" si="29"/>
        <v>10.126551473563284</v>
      </c>
      <c r="M116" s="47">
        <f t="shared" si="30"/>
        <v>312.81813484283941</v>
      </c>
      <c r="N116" s="47">
        <f t="shared" si="31"/>
        <v>0.29646728965960423</v>
      </c>
      <c r="O116" s="47">
        <f t="shared" si="32"/>
        <v>0.27266530334014843</v>
      </c>
      <c r="P116" s="47">
        <f t="shared" si="33"/>
        <v>13.905930470347718</v>
      </c>
      <c r="S116" s="15">
        <f t="shared" si="34"/>
        <v>4.349175139306416E-2</v>
      </c>
      <c r="T116" s="15">
        <f t="shared" si="35"/>
        <v>1</v>
      </c>
      <c r="U116" s="15">
        <f t="shared" si="36"/>
        <v>6.8827487341788292</v>
      </c>
      <c r="V116" s="15">
        <f t="shared" si="37"/>
        <v>-7.4279751351822956</v>
      </c>
      <c r="W116" s="15">
        <f t="shared" si="45"/>
        <v>-47.181865157160573</v>
      </c>
    </row>
    <row r="117" spans="1:23" x14ac:dyDescent="0.2">
      <c r="A117" s="48">
        <f t="shared" si="41"/>
        <v>107</v>
      </c>
      <c r="B117" s="196">
        <v>1526.17</v>
      </c>
      <c r="C117" s="51">
        <v>1.58</v>
      </c>
      <c r="D117" s="51">
        <v>128.35</v>
      </c>
      <c r="E117" s="14">
        <f t="shared" si="44"/>
        <v>14.170000000000073</v>
      </c>
      <c r="F117" s="47">
        <f t="shared" si="39"/>
        <v>1526.1048746648275</v>
      </c>
      <c r="G117" s="47">
        <f t="shared" si="24"/>
        <v>6.7179458680580737</v>
      </c>
      <c r="H117" s="49">
        <f t="shared" si="25"/>
        <v>6.7179458680580755</v>
      </c>
      <c r="I117" s="50" t="str">
        <f t="shared" si="26"/>
        <v>N</v>
      </c>
      <c r="J117" s="49">
        <f t="shared" si="27"/>
        <v>7.2309186673672654</v>
      </c>
      <c r="K117" s="50" t="str">
        <f t="shared" si="28"/>
        <v>W</v>
      </c>
      <c r="L117" s="47">
        <f t="shared" si="29"/>
        <v>9.8700041266576459</v>
      </c>
      <c r="M117" s="47">
        <f t="shared" si="30"/>
        <v>312.89388323668152</v>
      </c>
      <c r="N117" s="47">
        <f t="shared" si="31"/>
        <v>7.6546419824346668</v>
      </c>
      <c r="O117" s="47">
        <f t="shared" si="32"/>
        <v>7.6217360621029959</v>
      </c>
      <c r="P117" s="47">
        <f t="shared" si="33"/>
        <v>-45.730416372618102</v>
      </c>
      <c r="S117" s="15">
        <f t="shared" si="34"/>
        <v>1.0846627689109978</v>
      </c>
      <c r="T117" s="15">
        <f t="shared" si="35"/>
        <v>1.0000298661003613</v>
      </c>
      <c r="U117" s="15">
        <f t="shared" si="36"/>
        <v>6.7179458680580755</v>
      </c>
      <c r="V117" s="15">
        <f t="shared" si="37"/>
        <v>-7.2309186673672654</v>
      </c>
      <c r="W117" s="15">
        <f t="shared" si="45"/>
        <v>-47.106116763318497</v>
      </c>
    </row>
    <row r="118" spans="1:23" x14ac:dyDescent="0.2">
      <c r="A118" s="48">
        <f t="shared" si="41"/>
        <v>108</v>
      </c>
      <c r="B118" s="196">
        <v>1540.33</v>
      </c>
      <c r="C118" s="51">
        <v>1.77</v>
      </c>
      <c r="D118" s="51">
        <v>127.03</v>
      </c>
      <c r="E118" s="14">
        <f t="shared" si="44"/>
        <v>14.159999999999854</v>
      </c>
      <c r="F118" s="47">
        <f t="shared" si="39"/>
        <v>1540.2588047728225</v>
      </c>
      <c r="G118" s="47">
        <f t="shared" si="24"/>
        <v>6.4651241241647517</v>
      </c>
      <c r="H118" s="49">
        <f t="shared" si="25"/>
        <v>6.4651241241647526</v>
      </c>
      <c r="I118" s="50" t="str">
        <f t="shared" si="26"/>
        <v>N</v>
      </c>
      <c r="J118" s="49">
        <f t="shared" si="27"/>
        <v>6.9032453812340027</v>
      </c>
      <c r="K118" s="50" t="str">
        <f t="shared" si="28"/>
        <v>W</v>
      </c>
      <c r="L118" s="47">
        <f t="shared" si="29"/>
        <v>9.4579398779219161</v>
      </c>
      <c r="M118" s="47">
        <f t="shared" si="30"/>
        <v>313.12291862079309</v>
      </c>
      <c r="N118" s="47">
        <f t="shared" si="31"/>
        <v>1.3691069913562002</v>
      </c>
      <c r="O118" s="47">
        <f t="shared" si="32"/>
        <v>1.3418079096045332</v>
      </c>
      <c r="P118" s="47">
        <f t="shared" si="33"/>
        <v>-9.3220338983051327</v>
      </c>
      <c r="S118" s="15">
        <f t="shared" si="34"/>
        <v>0.19386554997603597</v>
      </c>
      <c r="T118" s="15">
        <f t="shared" si="35"/>
        <v>1</v>
      </c>
      <c r="U118" s="15">
        <f t="shared" si="36"/>
        <v>6.4651241241647526</v>
      </c>
      <c r="V118" s="15">
        <f t="shared" si="37"/>
        <v>-6.9032453812340027</v>
      </c>
      <c r="W118" s="15">
        <f t="shared" si="45"/>
        <v>-46.877081379206935</v>
      </c>
    </row>
    <row r="119" spans="1:23" x14ac:dyDescent="0.2">
      <c r="A119" s="48">
        <f t="shared" si="41"/>
        <v>109</v>
      </c>
      <c r="B119" s="196">
        <v>1554.5</v>
      </c>
      <c r="C119" s="51">
        <v>1.62</v>
      </c>
      <c r="D119" s="51">
        <v>125.1</v>
      </c>
      <c r="E119" s="14">
        <f t="shared" si="44"/>
        <v>14.170000000000073</v>
      </c>
      <c r="F119" s="47">
        <f t="shared" si="39"/>
        <v>1554.4225924864022</v>
      </c>
      <c r="G119" s="47">
        <f t="shared" si="24"/>
        <v>6.2181612316596624</v>
      </c>
      <c r="H119" s="49">
        <f t="shared" si="25"/>
        <v>6.2181612316596642</v>
      </c>
      <c r="I119" s="50" t="str">
        <f t="shared" si="26"/>
        <v>N</v>
      </c>
      <c r="J119" s="49">
        <f t="shared" si="27"/>
        <v>6.5646701937584062</v>
      </c>
      <c r="K119" s="50" t="str">
        <f t="shared" si="28"/>
        <v>W</v>
      </c>
      <c r="L119" s="47">
        <f t="shared" si="29"/>
        <v>9.0421470821777312</v>
      </c>
      <c r="M119" s="47">
        <f t="shared" si="30"/>
        <v>313.44724226376252</v>
      </c>
      <c r="N119" s="47">
        <f t="shared" si="31"/>
        <v>1.132499797862023</v>
      </c>
      <c r="O119" s="47">
        <f t="shared" si="32"/>
        <v>-1.05857445306986</v>
      </c>
      <c r="P119" s="47">
        <f t="shared" si="33"/>
        <v>-13.620324629498921</v>
      </c>
      <c r="S119" s="15">
        <f t="shared" si="34"/>
        <v>0.16047522135704947</v>
      </c>
      <c r="T119" s="15">
        <f t="shared" si="35"/>
        <v>1</v>
      </c>
      <c r="U119" s="15">
        <f t="shared" si="36"/>
        <v>6.2181612316596642</v>
      </c>
      <c r="V119" s="15">
        <f t="shared" si="37"/>
        <v>-6.5646701937584062</v>
      </c>
      <c r="W119" s="15">
        <f t="shared" si="45"/>
        <v>-46.552757736237488</v>
      </c>
    </row>
    <row r="120" spans="1:23" x14ac:dyDescent="0.2">
      <c r="A120" s="48">
        <f t="shared" si="41"/>
        <v>110</v>
      </c>
      <c r="B120" s="196">
        <v>1568.67</v>
      </c>
      <c r="C120" s="51">
        <v>1.48</v>
      </c>
      <c r="D120" s="51">
        <v>122.55</v>
      </c>
      <c r="E120" s="14">
        <f t="shared" si="44"/>
        <v>14.170000000000073</v>
      </c>
      <c r="F120" s="47">
        <f t="shared" si="39"/>
        <v>1568.5873971210967</v>
      </c>
      <c r="G120" s="47">
        <f t="shared" si="24"/>
        <v>6.0045335820201036</v>
      </c>
      <c r="H120" s="49">
        <f t="shared" si="25"/>
        <v>6.0045335820201027</v>
      </c>
      <c r="I120" s="50" t="str">
        <f t="shared" si="26"/>
        <v>N</v>
      </c>
      <c r="J120" s="49">
        <f t="shared" si="27"/>
        <v>6.2465497807122388</v>
      </c>
      <c r="K120" s="50" t="str">
        <f t="shared" si="28"/>
        <v>W</v>
      </c>
      <c r="L120" s="47">
        <f t="shared" si="29"/>
        <v>8.6645142795498504</v>
      </c>
      <c r="M120" s="47">
        <f t="shared" si="30"/>
        <v>313.86828756431117</v>
      </c>
      <c r="N120" s="47">
        <f t="shared" si="31"/>
        <v>1.1011699771893007</v>
      </c>
      <c r="O120" s="47">
        <f t="shared" si="32"/>
        <v>-0.98800282286520402</v>
      </c>
      <c r="P120" s="47">
        <f t="shared" si="33"/>
        <v>-17.995765702187608</v>
      </c>
      <c r="S120" s="15">
        <f t="shared" si="34"/>
        <v>0.1560357857677247</v>
      </c>
      <c r="T120" s="15">
        <f t="shared" si="35"/>
        <v>1</v>
      </c>
      <c r="U120" s="15">
        <f t="shared" si="36"/>
        <v>6.0045335820201027</v>
      </c>
      <c r="V120" s="15">
        <f t="shared" si="37"/>
        <v>-6.2465497807122388</v>
      </c>
      <c r="W120" s="15">
        <f t="shared" si="45"/>
        <v>-46.131712435688833</v>
      </c>
    </row>
    <row r="121" spans="1:23" x14ac:dyDescent="0.2">
      <c r="A121" s="48">
        <f t="shared" si="41"/>
        <v>111</v>
      </c>
      <c r="B121" s="196">
        <v>1582.83</v>
      </c>
      <c r="C121" s="51">
        <v>1.35</v>
      </c>
      <c r="D121" s="51">
        <v>119.52</v>
      </c>
      <c r="E121" s="14">
        <f t="shared" si="44"/>
        <v>14.159999999999854</v>
      </c>
      <c r="F121" s="47">
        <f t="shared" si="39"/>
        <v>1582.7430700500245</v>
      </c>
      <c r="G121" s="47">
        <f t="shared" si="24"/>
        <v>5.8239587561618942</v>
      </c>
      <c r="H121" s="49">
        <f t="shared" si="25"/>
        <v>5.8239587561618942</v>
      </c>
      <c r="I121" s="50" t="str">
        <f t="shared" si="26"/>
        <v>N</v>
      </c>
      <c r="J121" s="49">
        <f t="shared" si="27"/>
        <v>5.947261750102494</v>
      </c>
      <c r="K121" s="50" t="str">
        <f t="shared" si="28"/>
        <v>W</v>
      </c>
      <c r="L121" s="47">
        <f t="shared" si="29"/>
        <v>8.3239664774497353</v>
      </c>
      <c r="M121" s="47">
        <f t="shared" si="30"/>
        <v>314.39985129194878</v>
      </c>
      <c r="N121" s="47">
        <f t="shared" si="31"/>
        <v>1.0589758431875971</v>
      </c>
      <c r="O121" s="47">
        <f t="shared" si="32"/>
        <v>-0.91807909604520643</v>
      </c>
      <c r="P121" s="47">
        <f t="shared" si="33"/>
        <v>-21.398305084745989</v>
      </c>
      <c r="S121" s="15">
        <f t="shared" si="34"/>
        <v>0.1499509793953622</v>
      </c>
      <c r="T121" s="15">
        <f t="shared" si="35"/>
        <v>1</v>
      </c>
      <c r="U121" s="15">
        <f t="shared" si="36"/>
        <v>5.8239587561618942</v>
      </c>
      <c r="V121" s="15">
        <f t="shared" si="37"/>
        <v>-5.947261750102494</v>
      </c>
      <c r="W121" s="15">
        <f t="shared" si="45"/>
        <v>-45.600148708051229</v>
      </c>
    </row>
    <row r="122" spans="1:23" x14ac:dyDescent="0.2">
      <c r="A122" s="48">
        <f t="shared" si="41"/>
        <v>112</v>
      </c>
      <c r="B122" s="196">
        <v>1597</v>
      </c>
      <c r="C122" s="51">
        <v>1.23</v>
      </c>
      <c r="D122" s="51">
        <v>116.29</v>
      </c>
      <c r="E122" s="14">
        <f t="shared" si="44"/>
        <v>14.170000000000073</v>
      </c>
      <c r="F122" s="47">
        <f t="shared" si="39"/>
        <v>1596.9094709495193</v>
      </c>
      <c r="G122" s="47">
        <f t="shared" si="24"/>
        <v>5.6743511611337931</v>
      </c>
      <c r="H122" s="49">
        <f t="shared" si="25"/>
        <v>5.6743511611337922</v>
      </c>
      <c r="I122" s="50" t="str">
        <f t="shared" si="26"/>
        <v>N</v>
      </c>
      <c r="J122" s="49">
        <f t="shared" si="27"/>
        <v>5.6656551534939084</v>
      </c>
      <c r="K122" s="50" t="str">
        <f t="shared" si="28"/>
        <v>W</v>
      </c>
      <c r="L122" s="47">
        <f t="shared" si="29"/>
        <v>8.0185977214331245</v>
      </c>
      <c r="M122" s="47">
        <f t="shared" si="30"/>
        <v>315.04393687489153</v>
      </c>
      <c r="N122" s="47">
        <f t="shared" si="31"/>
        <v>0.98988766535894968</v>
      </c>
      <c r="O122" s="47">
        <f t="shared" si="32"/>
        <v>-0.84685956245588911</v>
      </c>
      <c r="P122" s="47">
        <f t="shared" si="33"/>
        <v>-22.794636556104258</v>
      </c>
      <c r="S122" s="15">
        <f t="shared" si="34"/>
        <v>0.14026708218136388</v>
      </c>
      <c r="T122" s="15">
        <f t="shared" si="35"/>
        <v>1</v>
      </c>
      <c r="U122" s="15">
        <f t="shared" si="36"/>
        <v>5.6743511611337922</v>
      </c>
      <c r="V122" s="15">
        <f t="shared" si="37"/>
        <v>-5.6656551534939084</v>
      </c>
      <c r="W122" s="15">
        <f t="shared" si="45"/>
        <v>-44.956063125108471</v>
      </c>
    </row>
    <row r="123" spans="1:23" x14ac:dyDescent="0.2">
      <c r="A123" s="48">
        <f t="shared" si="41"/>
        <v>113</v>
      </c>
      <c r="B123" s="196">
        <v>1611.67</v>
      </c>
      <c r="C123" s="51">
        <v>1.1299999999999999</v>
      </c>
      <c r="D123" s="51">
        <v>114.66</v>
      </c>
      <c r="E123" s="14">
        <f t="shared" si="44"/>
        <v>14.670000000000073</v>
      </c>
      <c r="F123" s="47">
        <f t="shared" si="39"/>
        <v>1611.5763543396652</v>
      </c>
      <c r="G123" s="47">
        <f t="shared" si="24"/>
        <v>5.5442591736979985</v>
      </c>
      <c r="H123" s="49">
        <f t="shared" si="25"/>
        <v>5.5442591736979985</v>
      </c>
      <c r="I123" s="50" t="str">
        <f t="shared" si="26"/>
        <v>N</v>
      </c>
      <c r="J123" s="49">
        <f t="shared" si="27"/>
        <v>5.3930283544800179</v>
      </c>
      <c r="K123" s="50" t="str">
        <f t="shared" si="28"/>
        <v>W</v>
      </c>
      <c r="L123" s="47">
        <f t="shared" si="29"/>
        <v>7.7345694526172473</v>
      </c>
      <c r="M123" s="47">
        <f t="shared" si="30"/>
        <v>315.79218320868677</v>
      </c>
      <c r="N123" s="47">
        <f t="shared" si="31"/>
        <v>0.71897426304181222</v>
      </c>
      <c r="O123" s="47">
        <f t="shared" si="32"/>
        <v>-0.68166325835037211</v>
      </c>
      <c r="P123" s="47">
        <f t="shared" si="33"/>
        <v>-11.111111111111121</v>
      </c>
      <c r="S123" s="15">
        <f t="shared" si="34"/>
        <v>0.10547352438823437</v>
      </c>
      <c r="T123" s="15">
        <f t="shared" si="35"/>
        <v>1</v>
      </c>
      <c r="U123" s="15">
        <f t="shared" si="36"/>
        <v>5.5442591736979985</v>
      </c>
      <c r="V123" s="15">
        <f t="shared" si="37"/>
        <v>-5.3930283544800179</v>
      </c>
      <c r="W123" s="15">
        <f t="shared" si="45"/>
        <v>-44.207816791313235</v>
      </c>
    </row>
    <row r="124" spans="1:23" x14ac:dyDescent="0.2">
      <c r="A124" s="48">
        <f t="shared" si="41"/>
        <v>114</v>
      </c>
      <c r="B124" s="196">
        <v>1626.33</v>
      </c>
      <c r="C124" s="51">
        <v>1.04</v>
      </c>
      <c r="D124" s="51">
        <v>113.4</v>
      </c>
      <c r="E124" s="14">
        <f t="shared" ref="E124:E139" si="46">IF($B124="","",B124-B123)</f>
        <v>14.659999999999854</v>
      </c>
      <c r="F124" s="47">
        <f t="shared" si="39"/>
        <v>1626.2337213357494</v>
      </c>
      <c r="G124" s="47">
        <f t="shared" si="24"/>
        <v>5.4311087039935737</v>
      </c>
      <c r="H124" s="49">
        <f t="shared" si="25"/>
        <v>5.4311087039935737</v>
      </c>
      <c r="I124" s="50" t="str">
        <f t="shared" si="26"/>
        <v>N</v>
      </c>
      <c r="J124" s="49">
        <f t="shared" si="27"/>
        <v>5.1395567738275769</v>
      </c>
      <c r="K124" s="50" t="str">
        <f t="shared" si="28"/>
        <v>W</v>
      </c>
      <c r="L124" s="47">
        <f t="shared" si="29"/>
        <v>7.4774317506742705</v>
      </c>
      <c r="M124" s="47">
        <f t="shared" si="30"/>
        <v>316.57988739561085</v>
      </c>
      <c r="N124" s="47">
        <f t="shared" si="31"/>
        <v>0.63508478151569792</v>
      </c>
      <c r="O124" s="47">
        <f t="shared" si="32"/>
        <v>-0.61391541609823164</v>
      </c>
      <c r="P124" s="47">
        <f t="shared" si="33"/>
        <v>-8.5948158253751945</v>
      </c>
      <c r="S124" s="15">
        <f t="shared" si="34"/>
        <v>9.3103428970200394E-2</v>
      </c>
      <c r="T124" s="15">
        <f t="shared" si="35"/>
        <v>1</v>
      </c>
      <c r="U124" s="15">
        <f t="shared" si="36"/>
        <v>5.4311087039935737</v>
      </c>
      <c r="V124" s="15">
        <f t="shared" si="37"/>
        <v>-5.1395567738275769</v>
      </c>
      <c r="W124" s="15">
        <f t="shared" ref="W124:W139" si="47">DEGREES(ATAN(V124/U124))</f>
        <v>-43.420112604389146</v>
      </c>
    </row>
    <row r="125" spans="1:23" x14ac:dyDescent="0.2">
      <c r="A125" s="48">
        <f t="shared" si="41"/>
        <v>115</v>
      </c>
      <c r="B125" s="196">
        <v>1641</v>
      </c>
      <c r="C125" s="51">
        <v>1.02</v>
      </c>
      <c r="D125" s="51">
        <v>113.63</v>
      </c>
      <c r="E125" s="14">
        <f t="shared" si="46"/>
        <v>14.670000000000073</v>
      </c>
      <c r="F125" s="47">
        <f t="shared" si="39"/>
        <v>1640.9013507343532</v>
      </c>
      <c r="G125" s="47">
        <f t="shared" si="24"/>
        <v>5.3258974829653631</v>
      </c>
      <c r="H125" s="49">
        <f t="shared" si="25"/>
        <v>5.3258974829653605</v>
      </c>
      <c r="I125" s="50" t="str">
        <f t="shared" si="26"/>
        <v>N</v>
      </c>
      <c r="J125" s="49">
        <f t="shared" si="27"/>
        <v>4.8977477822210203</v>
      </c>
      <c r="K125" s="50" t="str">
        <f t="shared" si="28"/>
        <v>W</v>
      </c>
      <c r="L125" s="47">
        <f t="shared" si="29"/>
        <v>7.2355454070379297</v>
      </c>
      <c r="M125" s="47">
        <f t="shared" si="30"/>
        <v>317.39805317735255</v>
      </c>
      <c r="N125" s="47">
        <f t="shared" si="31"/>
        <v>0.13921495510207688</v>
      </c>
      <c r="O125" s="47">
        <f t="shared" si="32"/>
        <v>-0.13633265167007441</v>
      </c>
      <c r="P125" s="47">
        <f t="shared" si="33"/>
        <v>1.5678254942057848</v>
      </c>
      <c r="S125" s="15">
        <f t="shared" si="34"/>
        <v>2.0422833913474776E-2</v>
      </c>
      <c r="T125" s="15">
        <f t="shared" si="35"/>
        <v>1</v>
      </c>
      <c r="U125" s="15">
        <f t="shared" si="36"/>
        <v>5.3258974829653605</v>
      </c>
      <c r="V125" s="15">
        <f t="shared" si="37"/>
        <v>-4.8977477822210203</v>
      </c>
      <c r="W125" s="15">
        <f t="shared" si="47"/>
        <v>-42.601946822647463</v>
      </c>
    </row>
    <row r="126" spans="1:23" x14ac:dyDescent="0.2">
      <c r="A126" s="48">
        <f t="shared" si="41"/>
        <v>116</v>
      </c>
      <c r="B126" s="196">
        <v>1655.67</v>
      </c>
      <c r="C126" s="51">
        <v>1.02</v>
      </c>
      <c r="D126" s="51">
        <v>114.23</v>
      </c>
      <c r="E126" s="14">
        <f t="shared" si="46"/>
        <v>14.670000000000073</v>
      </c>
      <c r="F126" s="47">
        <f t="shared" si="39"/>
        <v>1655.5690261584743</v>
      </c>
      <c r="G126" s="47">
        <f t="shared" si="24"/>
        <v>5.2199725078412902</v>
      </c>
      <c r="H126" s="49">
        <f t="shared" si="25"/>
        <v>5.2199725078412929</v>
      </c>
      <c r="I126" s="50" t="str">
        <f t="shared" si="26"/>
        <v>N</v>
      </c>
      <c r="J126" s="49">
        <f t="shared" si="27"/>
        <v>4.6590519870836218</v>
      </c>
      <c r="K126" s="50" t="str">
        <f t="shared" si="28"/>
        <v>W</v>
      </c>
      <c r="L126" s="47">
        <f t="shared" si="29"/>
        <v>6.99677628633121</v>
      </c>
      <c r="M126" s="47">
        <f t="shared" si="30"/>
        <v>318.24970433417309</v>
      </c>
      <c r="N126" s="47">
        <f t="shared" si="31"/>
        <v>7.2807103157381411E-2</v>
      </c>
      <c r="O126" s="47">
        <f t="shared" si="32"/>
        <v>0</v>
      </c>
      <c r="P126" s="47">
        <f t="shared" si="33"/>
        <v>4.0899795501022869</v>
      </c>
      <c r="S126" s="15">
        <f t="shared" si="34"/>
        <v>1.0680802033187905E-2</v>
      </c>
      <c r="T126" s="15">
        <f t="shared" si="35"/>
        <v>1</v>
      </c>
      <c r="U126" s="15">
        <f t="shared" si="36"/>
        <v>5.2199725078412929</v>
      </c>
      <c r="V126" s="15">
        <f t="shared" si="37"/>
        <v>-4.6590519870836218</v>
      </c>
      <c r="W126" s="15">
        <f t="shared" si="47"/>
        <v>-41.75029566582689</v>
      </c>
    </row>
    <row r="127" spans="1:23" x14ac:dyDescent="0.2">
      <c r="A127" s="48">
        <f t="shared" si="41"/>
        <v>117</v>
      </c>
      <c r="B127" s="196">
        <v>1670.33</v>
      </c>
      <c r="C127" s="51">
        <v>1.02</v>
      </c>
      <c r="D127" s="51">
        <v>114.83</v>
      </c>
      <c r="E127" s="14">
        <f t="shared" si="46"/>
        <v>14.659999999999854</v>
      </c>
      <c r="F127" s="47">
        <f t="shared" si="39"/>
        <v>1670.2267031671734</v>
      </c>
      <c r="G127" s="47">
        <f t="shared" si="24"/>
        <v>5.1116276748849172</v>
      </c>
      <c r="H127" s="49">
        <f t="shared" si="25"/>
        <v>5.1116276748849154</v>
      </c>
      <c r="I127" s="50" t="str">
        <f t="shared" si="26"/>
        <v>N</v>
      </c>
      <c r="J127" s="49">
        <f t="shared" si="27"/>
        <v>4.4216404483752223</v>
      </c>
      <c r="K127" s="50" t="str">
        <f t="shared" si="28"/>
        <v>W</v>
      </c>
      <c r="L127" s="47">
        <f t="shared" si="29"/>
        <v>6.758671595909747</v>
      </c>
      <c r="M127" s="47">
        <f t="shared" si="30"/>
        <v>319.13966555437338</v>
      </c>
      <c r="N127" s="47">
        <f t="shared" si="31"/>
        <v>7.285676693852669E-2</v>
      </c>
      <c r="O127" s="47">
        <f t="shared" si="32"/>
        <v>0</v>
      </c>
      <c r="P127" s="47">
        <f t="shared" si="33"/>
        <v>4.0927694406548447</v>
      </c>
      <c r="S127" s="15">
        <f t="shared" si="34"/>
        <v>1.0680802033187905E-2</v>
      </c>
      <c r="T127" s="15">
        <f t="shared" si="35"/>
        <v>1</v>
      </c>
      <c r="U127" s="15">
        <f t="shared" si="36"/>
        <v>5.1116276748849154</v>
      </c>
      <c r="V127" s="15">
        <f t="shared" si="37"/>
        <v>-4.4216404483752223</v>
      </c>
      <c r="W127" s="15">
        <f t="shared" si="47"/>
        <v>-40.860334445626641</v>
      </c>
    </row>
    <row r="128" spans="1:23" x14ac:dyDescent="0.2">
      <c r="A128" s="48">
        <f t="shared" si="41"/>
        <v>118</v>
      </c>
      <c r="B128" s="196">
        <v>1685</v>
      </c>
      <c r="C128" s="51">
        <v>0.87</v>
      </c>
      <c r="D128" s="51">
        <v>115.26</v>
      </c>
      <c r="E128" s="14">
        <f t="shared" si="46"/>
        <v>14.670000000000073</v>
      </c>
      <c r="F128" s="47">
        <f t="shared" si="39"/>
        <v>1684.8946952986184</v>
      </c>
      <c r="G128" s="47">
        <f t="shared" si="24"/>
        <v>5.0092704993264023</v>
      </c>
      <c r="H128" s="49">
        <f t="shared" si="25"/>
        <v>5.0092704993264023</v>
      </c>
      <c r="I128" s="50" t="str">
        <f t="shared" si="26"/>
        <v>N</v>
      </c>
      <c r="J128" s="49">
        <f t="shared" si="27"/>
        <v>4.2024139285886664</v>
      </c>
      <c r="K128" s="50" t="str">
        <f t="shared" si="28"/>
        <v>W</v>
      </c>
      <c r="L128" s="47">
        <f t="shared" si="29"/>
        <v>6.5385834675882064</v>
      </c>
      <c r="M128" s="47">
        <f t="shared" si="30"/>
        <v>320.0057936729454</v>
      </c>
      <c r="N128" s="47">
        <f t="shared" si="31"/>
        <v>1.0236298397166497</v>
      </c>
      <c r="O128" s="47">
        <f t="shared" si="32"/>
        <v>-1.0224948875255573</v>
      </c>
      <c r="P128" s="47">
        <f t="shared" si="33"/>
        <v>2.931152010906644</v>
      </c>
      <c r="S128" s="15">
        <f t="shared" si="34"/>
        <v>0.15016649748643326</v>
      </c>
      <c r="T128" s="15">
        <f t="shared" si="35"/>
        <v>1</v>
      </c>
      <c r="U128" s="15">
        <f t="shared" si="36"/>
        <v>5.0092704993264023</v>
      </c>
      <c r="V128" s="15">
        <f t="shared" si="37"/>
        <v>-4.2024139285886664</v>
      </c>
      <c r="W128" s="15">
        <f t="shared" si="47"/>
        <v>-39.994206327054613</v>
      </c>
    </row>
    <row r="129" spans="1:23" x14ac:dyDescent="0.2">
      <c r="A129" s="48">
        <f t="shared" si="41"/>
        <v>119</v>
      </c>
      <c r="B129" s="196">
        <v>1698.67</v>
      </c>
      <c r="C129" s="51">
        <v>0.19</v>
      </c>
      <c r="D129" s="51">
        <v>301.26</v>
      </c>
      <c r="E129" s="14">
        <f t="shared" si="46"/>
        <v>13.670000000000073</v>
      </c>
      <c r="F129" s="47">
        <f t="shared" si="39"/>
        <v>1698.564259038752</v>
      </c>
      <c r="G129" s="47">
        <f t="shared" si="24"/>
        <v>4.9767451285005837</v>
      </c>
      <c r="H129" s="49">
        <f t="shared" si="25"/>
        <v>4.976745128500581</v>
      </c>
      <c r="I129" s="50" t="str">
        <f t="shared" si="26"/>
        <v>N</v>
      </c>
      <c r="J129" s="49">
        <f t="shared" si="27"/>
        <v>4.1279292501971154</v>
      </c>
      <c r="K129" s="50" t="str">
        <f t="shared" si="28"/>
        <v>W</v>
      </c>
      <c r="L129" s="47">
        <f t="shared" si="29"/>
        <v>6.4658945219271233</v>
      </c>
      <c r="M129" s="47">
        <f t="shared" si="30"/>
        <v>320.32620882321169</v>
      </c>
      <c r="N129" s="47">
        <f t="shared" si="31"/>
        <v>7.7479544033059637</v>
      </c>
      <c r="O129" s="47">
        <f t="shared" si="32"/>
        <v>-4.9743964886612746</v>
      </c>
      <c r="P129" s="47">
        <f t="shared" si="33"/>
        <v>1360.6437454279371</v>
      </c>
      <c r="S129" s="15">
        <f t="shared" si="34"/>
        <v>1.0591453669319308</v>
      </c>
      <c r="T129" s="15">
        <f t="shared" si="35"/>
        <v>1.0000284773433503</v>
      </c>
      <c r="U129" s="15">
        <f t="shared" si="36"/>
        <v>4.976745128500581</v>
      </c>
      <c r="V129" s="15">
        <f t="shared" si="37"/>
        <v>-4.1279292501971154</v>
      </c>
      <c r="W129" s="15">
        <f t="shared" si="47"/>
        <v>-39.673791176788328</v>
      </c>
    </row>
    <row r="130" spans="1:23" x14ac:dyDescent="0.2">
      <c r="A130" s="48">
        <f t="shared" si="41"/>
        <v>120</v>
      </c>
      <c r="B130" s="198">
        <v>1712.33</v>
      </c>
      <c r="C130" s="51">
        <v>0.08</v>
      </c>
      <c r="D130" s="51">
        <v>284.63</v>
      </c>
      <c r="E130" s="14">
        <f t="shared" si="46"/>
        <v>13.659999999999854</v>
      </c>
      <c r="F130" s="47">
        <f t="shared" si="39"/>
        <v>1712.2242148273765</v>
      </c>
      <c r="G130" s="47">
        <f t="shared" si="24"/>
        <v>4.9909069383140414</v>
      </c>
      <c r="H130" s="49">
        <f t="shared" si="25"/>
        <v>4.9909069383140414</v>
      </c>
      <c r="I130" s="50" t="str">
        <f t="shared" si="26"/>
        <v>N</v>
      </c>
      <c r="J130" s="49">
        <f t="shared" si="27"/>
        <v>4.1565174556755329</v>
      </c>
      <c r="K130" s="50" t="str">
        <f t="shared" si="28"/>
        <v>W</v>
      </c>
      <c r="L130" s="47">
        <f t="shared" si="29"/>
        <v>6.4950588470195285</v>
      </c>
      <c r="M130" s="47">
        <f t="shared" si="30"/>
        <v>320.21185657909427</v>
      </c>
      <c r="N130" s="47">
        <f t="shared" si="31"/>
        <v>0.84652554284913395</v>
      </c>
      <c r="O130" s="47">
        <f t="shared" si="32"/>
        <v>-0.80527086383602609</v>
      </c>
      <c r="P130" s="47">
        <f t="shared" si="33"/>
        <v>-121.74231332357374</v>
      </c>
      <c r="S130" s="15">
        <f t="shared" si="34"/>
        <v>0.11563538915319047</v>
      </c>
      <c r="T130" s="15">
        <f t="shared" si="35"/>
        <v>1</v>
      </c>
      <c r="U130" s="15">
        <f t="shared" si="36"/>
        <v>4.9909069383140414</v>
      </c>
      <c r="V130" s="15">
        <f t="shared" si="37"/>
        <v>-4.1565174556755329</v>
      </c>
      <c r="W130" s="15">
        <f t="shared" si="47"/>
        <v>-39.78814342090574</v>
      </c>
    </row>
    <row r="131" spans="1:23" x14ac:dyDescent="0.2">
      <c r="A131" s="48">
        <f t="shared" si="41"/>
        <v>121</v>
      </c>
      <c r="B131" s="198">
        <v>1726</v>
      </c>
      <c r="C131" s="51">
        <v>0.06</v>
      </c>
      <c r="D131" s="51">
        <v>177.16</v>
      </c>
      <c r="E131" s="14">
        <f t="shared" si="46"/>
        <v>13.670000000000073</v>
      </c>
      <c r="F131" s="47">
        <f t="shared" si="39"/>
        <v>1725.8942044170776</v>
      </c>
      <c r="G131" s="47">
        <f t="shared" si="24"/>
        <v>4.986168583786954</v>
      </c>
      <c r="H131" s="49">
        <f t="shared" si="25"/>
        <v>4.9861685837869523</v>
      </c>
      <c r="I131" s="50" t="str">
        <f t="shared" si="26"/>
        <v>N</v>
      </c>
      <c r="J131" s="49">
        <f t="shared" si="27"/>
        <v>4.1653968482225743</v>
      </c>
      <c r="K131" s="50" t="str">
        <f t="shared" si="28"/>
        <v>W</v>
      </c>
      <c r="L131" s="47">
        <f t="shared" si="29"/>
        <v>6.4971076679647641</v>
      </c>
      <c r="M131" s="47">
        <f t="shared" si="30"/>
        <v>320.12494530356162</v>
      </c>
      <c r="N131" s="47">
        <f t="shared" si="31"/>
        <v>0.83027657096147389</v>
      </c>
      <c r="O131" s="47">
        <f t="shared" si="32"/>
        <v>-0.14630577907827283</v>
      </c>
      <c r="P131" s="47">
        <f t="shared" si="33"/>
        <v>-786.1741038770989</v>
      </c>
      <c r="S131" s="15">
        <f t="shared" si="34"/>
        <v>0.11349880725043408</v>
      </c>
      <c r="T131" s="15">
        <f t="shared" si="35"/>
        <v>1</v>
      </c>
      <c r="U131" s="15">
        <f t="shared" si="36"/>
        <v>4.9861685837869523</v>
      </c>
      <c r="V131" s="15">
        <f t="shared" si="37"/>
        <v>-4.1653968482225743</v>
      </c>
      <c r="W131" s="15">
        <f t="shared" si="47"/>
        <v>-39.875054696438411</v>
      </c>
    </row>
    <row r="132" spans="1:23" x14ac:dyDescent="0.2">
      <c r="A132" s="48">
        <f t="shared" si="41"/>
        <v>122</v>
      </c>
      <c r="B132" s="198">
        <v>1739.67</v>
      </c>
      <c r="C132" s="51">
        <v>0.16</v>
      </c>
      <c r="D132" s="51">
        <v>147.62</v>
      </c>
      <c r="E132" s="14">
        <f t="shared" si="46"/>
        <v>13.670000000000073</v>
      </c>
      <c r="F132" s="47">
        <f t="shared" si="39"/>
        <v>1739.5641740190183</v>
      </c>
      <c r="G132" s="47">
        <f t="shared" si="24"/>
        <v>4.9629006126364423</v>
      </c>
      <c r="H132" s="49">
        <f t="shared" si="25"/>
        <v>4.962900612636445</v>
      </c>
      <c r="I132" s="50" t="str">
        <f t="shared" si="26"/>
        <v>N</v>
      </c>
      <c r="J132" s="49">
        <f t="shared" si="27"/>
        <v>4.1548205662897733</v>
      </c>
      <c r="K132" s="50" t="str">
        <f t="shared" si="28"/>
        <v>W</v>
      </c>
      <c r="L132" s="47">
        <f t="shared" si="29"/>
        <v>6.4724737488051405</v>
      </c>
      <c r="M132" s="47">
        <f t="shared" si="30"/>
        <v>320.06474353299393</v>
      </c>
      <c r="N132" s="47">
        <f t="shared" si="31"/>
        <v>0.81773586910311502</v>
      </c>
      <c r="O132" s="47">
        <f t="shared" si="32"/>
        <v>0.73152889539136412</v>
      </c>
      <c r="P132" s="47">
        <f t="shared" si="33"/>
        <v>-216.09363569860886</v>
      </c>
      <c r="S132" s="15">
        <f t="shared" si="34"/>
        <v>0.11178449330639642</v>
      </c>
      <c r="T132" s="15">
        <f t="shared" si="35"/>
        <v>1</v>
      </c>
      <c r="U132" s="15">
        <f t="shared" si="36"/>
        <v>4.962900612636445</v>
      </c>
      <c r="V132" s="15">
        <f t="shared" si="37"/>
        <v>-4.1548205662897733</v>
      </c>
      <c r="W132" s="15">
        <f t="shared" si="47"/>
        <v>-39.935256467006042</v>
      </c>
    </row>
    <row r="133" spans="1:23" x14ac:dyDescent="0.2">
      <c r="A133" s="48">
        <f t="shared" si="41"/>
        <v>123</v>
      </c>
      <c r="B133" s="198">
        <v>1753.33</v>
      </c>
      <c r="C133" s="51">
        <v>0.26</v>
      </c>
      <c r="D133" s="51">
        <v>141.66</v>
      </c>
      <c r="E133" s="14">
        <f t="shared" si="46"/>
        <v>13.659999999999854</v>
      </c>
      <c r="F133" s="47">
        <f t="shared" si="39"/>
        <v>1753.2240770661331</v>
      </c>
      <c r="G133" s="47">
        <f t="shared" si="24"/>
        <v>4.9224837248700721</v>
      </c>
      <c r="H133" s="49">
        <f t="shared" si="25"/>
        <v>4.9224837248700704</v>
      </c>
      <c r="I133" s="50" t="str">
        <f t="shared" si="26"/>
        <v>N</v>
      </c>
      <c r="J133" s="49">
        <f t="shared" si="27"/>
        <v>4.1253803328352481</v>
      </c>
      <c r="K133" s="50" t="str">
        <f t="shared" si="28"/>
        <v>W</v>
      </c>
      <c r="L133" s="47">
        <f t="shared" si="29"/>
        <v>6.4225858431129268</v>
      </c>
      <c r="M133" s="47">
        <f t="shared" si="30"/>
        <v>320.03467468132732</v>
      </c>
      <c r="N133" s="47">
        <f t="shared" si="31"/>
        <v>0.74834477923268417</v>
      </c>
      <c r="O133" s="47">
        <f t="shared" si="32"/>
        <v>0.73206442166911467</v>
      </c>
      <c r="P133" s="47">
        <f t="shared" si="33"/>
        <v>-43.631039531479288</v>
      </c>
      <c r="S133" s="15">
        <f t="shared" si="34"/>
        <v>0.10222389684318356</v>
      </c>
      <c r="T133" s="15">
        <f t="shared" si="35"/>
        <v>1</v>
      </c>
      <c r="U133" s="15">
        <f t="shared" si="36"/>
        <v>4.9224837248700704</v>
      </c>
      <c r="V133" s="15">
        <f t="shared" si="37"/>
        <v>-4.1253803328352481</v>
      </c>
      <c r="W133" s="15">
        <f t="shared" si="47"/>
        <v>-39.965325318672704</v>
      </c>
    </row>
    <row r="134" spans="1:23" x14ac:dyDescent="0.2">
      <c r="A134" s="48">
        <f t="shared" si="41"/>
        <v>124</v>
      </c>
      <c r="B134" s="199">
        <v>1767</v>
      </c>
      <c r="C134" s="51">
        <v>0.37</v>
      </c>
      <c r="D134" s="51">
        <v>139.19</v>
      </c>
      <c r="E134" s="14">
        <f t="shared" si="46"/>
        <v>13.670000000000073</v>
      </c>
      <c r="F134" s="47">
        <f t="shared" si="39"/>
        <v>1766.8938641761076</v>
      </c>
      <c r="G134" s="47">
        <f t="shared" si="24"/>
        <v>4.8647490545873167</v>
      </c>
      <c r="H134" s="49">
        <f t="shared" si="25"/>
        <v>4.8647490545873167</v>
      </c>
      <c r="I134" s="50" t="str">
        <f t="shared" si="26"/>
        <v>N</v>
      </c>
      <c r="J134" s="49">
        <f t="shared" si="27"/>
        <v>4.0772935527676086</v>
      </c>
      <c r="K134" s="50" t="str">
        <f t="shared" si="28"/>
        <v>W</v>
      </c>
      <c r="L134" s="47">
        <f t="shared" si="29"/>
        <v>6.3474487851063826</v>
      </c>
      <c r="M134" s="47">
        <f t="shared" si="30"/>
        <v>320.03260715947539</v>
      </c>
      <c r="N134" s="47">
        <f t="shared" si="31"/>
        <v>0.81060375052339029</v>
      </c>
      <c r="O134" s="47">
        <f t="shared" si="32"/>
        <v>0.80468178493050035</v>
      </c>
      <c r="P134" s="47">
        <f t="shared" si="33"/>
        <v>-18.068763716166682</v>
      </c>
      <c r="S134" s="15">
        <f t="shared" si="34"/>
        <v>0.11080953269654804</v>
      </c>
      <c r="T134" s="15">
        <f t="shared" si="35"/>
        <v>1</v>
      </c>
      <c r="U134" s="15">
        <f t="shared" si="36"/>
        <v>4.8647490545873167</v>
      </c>
      <c r="V134" s="15">
        <f t="shared" si="37"/>
        <v>-4.0772935527676086</v>
      </c>
      <c r="W134" s="15">
        <f t="shared" si="47"/>
        <v>-39.967392840524617</v>
      </c>
    </row>
    <row r="135" spans="1:23" x14ac:dyDescent="0.2">
      <c r="A135" s="48">
        <f t="shared" si="41"/>
        <v>125</v>
      </c>
      <c r="B135" s="199">
        <v>1781.33</v>
      </c>
      <c r="C135" s="51">
        <v>0.36</v>
      </c>
      <c r="D135" s="51">
        <v>143.30000000000001</v>
      </c>
      <c r="E135" s="14">
        <f t="shared" si="46"/>
        <v>14.329999999999927</v>
      </c>
      <c r="F135" s="47">
        <f t="shared" si="39"/>
        <v>1781.2235733477989</v>
      </c>
      <c r="G135" s="47">
        <f t="shared" si="24"/>
        <v>4.7936338353732051</v>
      </c>
      <c r="H135" s="49">
        <f t="shared" si="25"/>
        <v>4.7936338353732069</v>
      </c>
      <c r="I135" s="50" t="str">
        <f t="shared" si="26"/>
        <v>N</v>
      </c>
      <c r="J135" s="49">
        <f t="shared" si="27"/>
        <v>4.0201498491463754</v>
      </c>
      <c r="K135" s="50" t="str">
        <f t="shared" si="28"/>
        <v>W</v>
      </c>
      <c r="L135" s="47">
        <f t="shared" si="29"/>
        <v>6.2562392982706845</v>
      </c>
      <c r="M135" s="47">
        <f t="shared" si="30"/>
        <v>320.01533979337614</v>
      </c>
      <c r="N135" s="47">
        <f t="shared" si="31"/>
        <v>0.19553062414397709</v>
      </c>
      <c r="O135" s="47">
        <f t="shared" si="32"/>
        <v>-6.9783670621075086E-2</v>
      </c>
      <c r="P135" s="47">
        <f t="shared" si="33"/>
        <v>28.681088625261932</v>
      </c>
      <c r="S135" s="15">
        <f t="shared" si="34"/>
        <v>2.8019538439831775E-2</v>
      </c>
      <c r="T135" s="15">
        <f t="shared" si="35"/>
        <v>1</v>
      </c>
      <c r="U135" s="15">
        <f t="shared" si="36"/>
        <v>4.7936338353732069</v>
      </c>
      <c r="V135" s="15">
        <f t="shared" si="37"/>
        <v>-4.0201498491463754</v>
      </c>
      <c r="W135" s="15">
        <f t="shared" si="47"/>
        <v>-39.984660206623843</v>
      </c>
    </row>
    <row r="136" spans="1:23" x14ac:dyDescent="0.2">
      <c r="A136" s="48">
        <f t="shared" si="41"/>
        <v>126</v>
      </c>
      <c r="B136" s="199">
        <v>1795.67</v>
      </c>
      <c r="C136" s="51">
        <v>0.35</v>
      </c>
      <c r="D136" s="51">
        <v>147.66999999999999</v>
      </c>
      <c r="E136" s="14">
        <f t="shared" si="46"/>
        <v>14.340000000000146</v>
      </c>
      <c r="F136" s="47">
        <f t="shared" si="39"/>
        <v>1795.563298042006</v>
      </c>
      <c r="G136" s="47">
        <f t="shared" si="24"/>
        <v>4.7205045633770437</v>
      </c>
      <c r="H136" s="49">
        <f t="shared" si="25"/>
        <v>4.7205045633770428</v>
      </c>
      <c r="I136" s="50" t="str">
        <f t="shared" si="26"/>
        <v>N</v>
      </c>
      <c r="J136" s="49">
        <f t="shared" si="27"/>
        <v>3.9698033970346338</v>
      </c>
      <c r="K136" s="50" t="str">
        <f t="shared" si="28"/>
        <v>W</v>
      </c>
      <c r="L136" s="47">
        <f t="shared" si="29"/>
        <v>6.1678604348648491</v>
      </c>
      <c r="M136" s="47">
        <f t="shared" si="30"/>
        <v>319.93716653717684</v>
      </c>
      <c r="N136" s="47">
        <f t="shared" si="31"/>
        <v>0.20122007978688353</v>
      </c>
      <c r="O136" s="47">
        <f t="shared" si="32"/>
        <v>-6.9735006973500047E-2</v>
      </c>
      <c r="P136" s="47">
        <f t="shared" si="33"/>
        <v>30.474198047419328</v>
      </c>
      <c r="S136" s="15">
        <f t="shared" si="34"/>
        <v>2.8854959441439391E-2</v>
      </c>
      <c r="T136" s="15">
        <f t="shared" si="35"/>
        <v>1</v>
      </c>
      <c r="U136" s="15">
        <f t="shared" si="36"/>
        <v>4.7205045633770428</v>
      </c>
      <c r="V136" s="15">
        <f t="shared" si="37"/>
        <v>-3.9698033970346338</v>
      </c>
      <c r="W136" s="15">
        <f t="shared" si="47"/>
        <v>-40.062833462823178</v>
      </c>
    </row>
    <row r="137" spans="1:23" x14ac:dyDescent="0.2">
      <c r="A137" s="48">
        <f t="shared" si="41"/>
        <v>127</v>
      </c>
      <c r="B137" s="196">
        <v>1810</v>
      </c>
      <c r="C137" s="51">
        <v>0.35</v>
      </c>
      <c r="D137" s="51">
        <v>152.26</v>
      </c>
      <c r="E137" s="14">
        <f t="shared" si="46"/>
        <v>14.329999999999927</v>
      </c>
      <c r="F137" s="47">
        <f t="shared" si="39"/>
        <v>1809.8930306763202</v>
      </c>
      <c r="G137" s="47">
        <f t="shared" si="24"/>
        <v>4.6447833148191888</v>
      </c>
      <c r="H137" s="49">
        <f t="shared" si="25"/>
        <v>4.6447833148191897</v>
      </c>
      <c r="I137" s="50" t="str">
        <f t="shared" si="26"/>
        <v>N</v>
      </c>
      <c r="J137" s="49">
        <f t="shared" si="27"/>
        <v>3.9260240180582753</v>
      </c>
      <c r="K137" s="50" t="str">
        <f t="shared" si="28"/>
        <v>W</v>
      </c>
      <c r="L137" s="47">
        <f t="shared" si="29"/>
        <v>6.0817494713275702</v>
      </c>
      <c r="M137" s="47">
        <f t="shared" si="30"/>
        <v>319.79368368599484</v>
      </c>
      <c r="N137" s="47">
        <f t="shared" si="31"/>
        <v>0.19561090926991084</v>
      </c>
      <c r="O137" s="47">
        <f t="shared" si="32"/>
        <v>0</v>
      </c>
      <c r="P137" s="47">
        <f t="shared" si="33"/>
        <v>32.030704815073463</v>
      </c>
      <c r="S137" s="15">
        <f t="shared" si="34"/>
        <v>2.8031043298378078E-2</v>
      </c>
      <c r="T137" s="15">
        <f t="shared" si="35"/>
        <v>1</v>
      </c>
      <c r="U137" s="15">
        <f t="shared" si="36"/>
        <v>4.6447833148191897</v>
      </c>
      <c r="V137" s="15">
        <f t="shared" si="37"/>
        <v>-3.9260240180582753</v>
      </c>
      <c r="W137" s="15">
        <f t="shared" si="47"/>
        <v>-40.206316314005157</v>
      </c>
    </row>
    <row r="138" spans="1:23" x14ac:dyDescent="0.2">
      <c r="A138" s="48">
        <f t="shared" si="41"/>
        <v>128</v>
      </c>
      <c r="B138" s="196">
        <v>1824.33</v>
      </c>
      <c r="C138" s="51">
        <v>0.34</v>
      </c>
      <c r="D138" s="51">
        <v>157.03</v>
      </c>
      <c r="E138" s="14">
        <f t="shared" si="46"/>
        <v>14.329999999999927</v>
      </c>
      <c r="F138" s="47">
        <f t="shared" si="39"/>
        <v>1824.2227708405032</v>
      </c>
      <c r="G138" s="47">
        <f t="shared" si="24"/>
        <v>4.5668989656446346</v>
      </c>
      <c r="H138" s="49">
        <f t="shared" si="25"/>
        <v>4.5668989656446364</v>
      </c>
      <c r="I138" s="50" t="str">
        <f t="shared" si="26"/>
        <v>N</v>
      </c>
      <c r="J138" s="49">
        <f t="shared" si="27"/>
        <v>3.8890591585056469</v>
      </c>
      <c r="K138" s="50" t="str">
        <f t="shared" si="28"/>
        <v>W</v>
      </c>
      <c r="L138" s="47">
        <f t="shared" si="29"/>
        <v>5.9984454070002755</v>
      </c>
      <c r="M138" s="47">
        <f t="shared" si="30"/>
        <v>319.58309886899758</v>
      </c>
      <c r="N138" s="47">
        <f t="shared" si="31"/>
        <v>0.21215778690302289</v>
      </c>
      <c r="O138" s="47">
        <f t="shared" si="32"/>
        <v>-6.9783670621074698E-2</v>
      </c>
      <c r="P138" s="47">
        <f t="shared" si="33"/>
        <v>33.286810886252859</v>
      </c>
      <c r="S138" s="15">
        <f t="shared" si="34"/>
        <v>3.0402210863203025E-2</v>
      </c>
      <c r="T138" s="15">
        <f t="shared" si="35"/>
        <v>1</v>
      </c>
      <c r="U138" s="15">
        <f t="shared" si="36"/>
        <v>4.5668989656446364</v>
      </c>
      <c r="V138" s="15">
        <f t="shared" si="37"/>
        <v>-3.8890591585056469</v>
      </c>
      <c r="W138" s="15">
        <f t="shared" si="47"/>
        <v>-40.416901131002426</v>
      </c>
    </row>
    <row r="139" spans="1:23" x14ac:dyDescent="0.2">
      <c r="A139" s="48">
        <f t="shared" si="41"/>
        <v>129</v>
      </c>
      <c r="B139" s="196">
        <v>1838.67</v>
      </c>
      <c r="C139" s="51">
        <v>0.34</v>
      </c>
      <c r="D139" s="51">
        <v>161.91999999999999</v>
      </c>
      <c r="E139" s="14">
        <f t="shared" si="46"/>
        <v>14.340000000000146</v>
      </c>
      <c r="F139" s="47">
        <f t="shared" si="39"/>
        <v>1838.5625183584866</v>
      </c>
      <c r="G139" s="47">
        <f t="shared" ref="G139:G202" si="48">IF(B139="","",L139*COS(RADIANS(M139-$N$2)))</f>
        <v>4.4872786182119766</v>
      </c>
      <c r="H139" s="49">
        <f t="shared" ref="H139:H202" si="49">IF(B139="","",ABS(U139))</f>
        <v>4.4872786182119757</v>
      </c>
      <c r="I139" s="50" t="str">
        <f t="shared" ref="I139:I202" si="50">IF(B139="","",IF(U139&lt;0,"S","N"))</f>
        <v>N</v>
      </c>
      <c r="J139" s="49">
        <f t="shared" ref="J139:J202" si="51">IF(B139="","",ABS(V139))</f>
        <v>3.8592507266054676</v>
      </c>
      <c r="K139" s="50" t="str">
        <f t="shared" ref="K139:K202" si="52">IF(B139="","",IF(V139&lt;0,"W","E"))</f>
        <v>W</v>
      </c>
      <c r="L139" s="47">
        <f t="shared" ref="L139:L202" si="53">IF(B139="","",(H139^2+J139^2)^0.5)</f>
        <v>5.918571243827957</v>
      </c>
      <c r="M139" s="47">
        <f t="shared" ref="M139:M202" si="54">IF(B139="","",IF(I139="S", 180+W139,IF(AND(I139="N",K139="E"),W139,360+W139)))</f>
        <v>319.30306622529633</v>
      </c>
      <c r="N139" s="47">
        <f t="shared" ref="N139:N202" si="55">IF(B139="","",S139*100/E139)</f>
        <v>0.20229336146656843</v>
      </c>
      <c r="O139" s="47">
        <f t="shared" ref="O139:O202" si="56">IF(B139="","",(C139-C138)*(100/E139))</f>
        <v>0</v>
      </c>
      <c r="P139" s="47">
        <f t="shared" ref="P139:P202" si="57">IF(B139="","",(D139-D138)*(100/E139))</f>
        <v>34.100418410041399</v>
      </c>
      <c r="S139" s="15">
        <f t="shared" ref="S139:S202" si="58">DEGREES(ACOS(COS(RADIANS(C139-C138))+((SIN(RADIANS(C139)))*(SIN(RADIANS(C138))))*((COS(RADIANS(D139-D138)))-1)))</f>
        <v>2.9008868034306204E-2</v>
      </c>
      <c r="T139" s="15">
        <f t="shared" ref="T139:T202" si="59">IF($U$1=1,IF(S139&lt;0.25,1,(2/S139)*(DEGREES((TAN(RADIANS(S139/2)))))),IF($U$1=2,IF(C139=C138,E139*(SIN(RADIANS(C139))),(E139/(C139-C138))*(DEGREES(COS(RADIANS(C139))-COS(RADIANS(C138))))),E139*SIN(RADIANS((C139+C138)/2))))</f>
        <v>1</v>
      </c>
      <c r="U139" s="15">
        <f t="shared" ref="U139:U202" si="60">IF($U$1=1,U138+(T139*E139/2*((SIN(RADIANS(C139))*COS(RADIANS(D139)))+(SIN(RADIANS(C138))*COS(RADIANS(D138))))),IF($U$1=2,IF(D139=D138,U138+(-T139*(COS(RADIANS(D139)))),U138+(-T139/(D139-D138))*(DEGREES(SIN(RADIANS(D139))-SIN(RADIANS(D138))))),U138+T139*(COS(RADIANS((D139+D138)/2)))))</f>
        <v>4.4872786182119757</v>
      </c>
      <c r="V139" s="15">
        <f t="shared" ref="V139:V202" si="61">IF($U$1=1,V138+(T139*E139/2*((SIN(RADIANS(C139))*SIN(RADIANS(D139)))+(SIN(RADIANS(C138))*SIN(RADIANS(D138))))),IF($U$1=2,IF(D139=D138,V138-T139*(SIN(RADIANS(D139))),V138+(T139/(D139-D138))*(DEGREES(COS(RADIANS(D139))-COS(RADIANS(D138))))),V138+(T139*(SIN(RADIANS((D139+D138)/2))))))</f>
        <v>-3.8592507266054676</v>
      </c>
      <c r="W139" s="15">
        <f t="shared" si="47"/>
        <v>-40.696933774703673</v>
      </c>
    </row>
    <row r="140" spans="1:23" x14ac:dyDescent="0.2">
      <c r="A140" s="48">
        <f t="shared" si="41"/>
        <v>130</v>
      </c>
      <c r="B140" s="196">
        <v>1853</v>
      </c>
      <c r="C140" s="51">
        <v>0.34</v>
      </c>
      <c r="D140" s="51">
        <v>166.85</v>
      </c>
      <c r="E140" s="14">
        <f t="shared" ref="E140:E155" si="62">IF($B140="","",B140-B139)</f>
        <v>14.329999999999927</v>
      </c>
      <c r="F140" s="47">
        <f t="shared" ref="F140:F203" si="63">IF(B140="","",IF($U$1=1,F139+(T140*E140/2*(COS(RADIANS(C140))+COS(RADIANS(C139)))), IF($U$1=2,IF(C140=C139,F139+E140*(COS(RADIANS(C140))),F139+(E140/(C140-C139))*(DEGREES(SIN(RADIANS(C140))-SIN(RADIANS(C139))))),F139+(E140*(COS(RADIANS((C140+C139)/2)))))))</f>
        <v>1852.8922660525382</v>
      </c>
      <c r="G140" s="47">
        <f t="shared" si="48"/>
        <v>4.4054574429319349</v>
      </c>
      <c r="H140" s="49">
        <f t="shared" si="49"/>
        <v>4.4054574429319349</v>
      </c>
      <c r="I140" s="50" t="str">
        <f t="shared" si="50"/>
        <v>N</v>
      </c>
      <c r="J140" s="49">
        <f t="shared" si="51"/>
        <v>3.836382751704424</v>
      </c>
      <c r="K140" s="50" t="str">
        <f t="shared" si="52"/>
        <v>W</v>
      </c>
      <c r="L140" s="47">
        <f t="shared" si="53"/>
        <v>5.8417367194233938</v>
      </c>
      <c r="M140" s="47">
        <f t="shared" si="54"/>
        <v>318.94983515188903</v>
      </c>
      <c r="N140" s="47">
        <f t="shared" si="55"/>
        <v>0.20408941777039283</v>
      </c>
      <c r="O140" s="47">
        <f t="shared" si="56"/>
        <v>0</v>
      </c>
      <c r="P140" s="47">
        <f t="shared" si="57"/>
        <v>34.403349616190035</v>
      </c>
      <c r="S140" s="15">
        <f t="shared" si="58"/>
        <v>2.9246013566497142E-2</v>
      </c>
      <c r="T140" s="15">
        <f t="shared" si="59"/>
        <v>1</v>
      </c>
      <c r="U140" s="15">
        <f t="shared" si="60"/>
        <v>4.4054574429319349</v>
      </c>
      <c r="V140" s="15">
        <f t="shared" si="61"/>
        <v>-3.836382751704424</v>
      </c>
      <c r="W140" s="15">
        <f t="shared" ref="W140:W155" si="64">DEGREES(ATAN(V140/U140))</f>
        <v>-41.050164848110981</v>
      </c>
    </row>
    <row r="141" spans="1:23" x14ac:dyDescent="0.2">
      <c r="A141" s="48">
        <f t="shared" ref="A141:A204" si="65">IF(B141="","",IF(AND(B141&lt;&gt;"",B142=""),"Proj.",A140+1))</f>
        <v>131</v>
      </c>
      <c r="B141" s="196">
        <v>1865.83</v>
      </c>
      <c r="C141" s="51">
        <v>0.36</v>
      </c>
      <c r="D141" s="51">
        <v>173.47</v>
      </c>
      <c r="E141" s="14">
        <f t="shared" si="62"/>
        <v>12.829999999999927</v>
      </c>
      <c r="F141" s="47">
        <f t="shared" si="63"/>
        <v>1865.7220264780824</v>
      </c>
      <c r="G141" s="47">
        <f t="shared" si="48"/>
        <v>4.328343615492372</v>
      </c>
      <c r="H141" s="49">
        <f t="shared" si="49"/>
        <v>4.328343615492372</v>
      </c>
      <c r="I141" s="50" t="str">
        <f t="shared" si="50"/>
        <v>N</v>
      </c>
      <c r="J141" s="49">
        <f t="shared" si="51"/>
        <v>3.8231386511448044</v>
      </c>
      <c r="K141" s="50" t="str">
        <f t="shared" si="52"/>
        <v>W</v>
      </c>
      <c r="L141" s="47">
        <f t="shared" si="53"/>
        <v>5.7750279306381618</v>
      </c>
      <c r="M141" s="47">
        <f t="shared" si="54"/>
        <v>318.54648814755507</v>
      </c>
      <c r="N141" s="47">
        <f t="shared" si="55"/>
        <v>0.3513602482589972</v>
      </c>
      <c r="O141" s="47">
        <f t="shared" si="56"/>
        <v>0.15588464536243238</v>
      </c>
      <c r="P141" s="47">
        <f t="shared" si="57"/>
        <v>51.597817614965251</v>
      </c>
      <c r="S141" s="15">
        <f t="shared" si="58"/>
        <v>4.5079519851629085E-2</v>
      </c>
      <c r="T141" s="15">
        <f t="shared" si="59"/>
        <v>1</v>
      </c>
      <c r="U141" s="15">
        <f t="shared" si="60"/>
        <v>4.328343615492372</v>
      </c>
      <c r="V141" s="15">
        <f t="shared" si="61"/>
        <v>-3.8231386511448044</v>
      </c>
      <c r="W141" s="15">
        <f t="shared" si="64"/>
        <v>-41.453511852444947</v>
      </c>
    </row>
    <row r="142" spans="1:23" x14ac:dyDescent="0.2">
      <c r="A142" s="48">
        <f t="shared" si="65"/>
        <v>132</v>
      </c>
      <c r="B142" s="196">
        <v>1878.67</v>
      </c>
      <c r="C142" s="51">
        <v>0.38</v>
      </c>
      <c r="D142" s="51">
        <v>179.3</v>
      </c>
      <c r="E142" s="14">
        <f t="shared" si="62"/>
        <v>12.840000000000146</v>
      </c>
      <c r="F142" s="47">
        <f t="shared" si="63"/>
        <v>1878.5617585558116</v>
      </c>
      <c r="G142" s="47">
        <f t="shared" si="48"/>
        <v>4.2456919621561191</v>
      </c>
      <c r="H142" s="49">
        <f t="shared" si="49"/>
        <v>4.24569196215612</v>
      </c>
      <c r="I142" s="50" t="str">
        <f t="shared" si="50"/>
        <v>N</v>
      </c>
      <c r="J142" s="49">
        <f t="shared" si="51"/>
        <v>3.8180311154049598</v>
      </c>
      <c r="K142" s="50" t="str">
        <f t="shared" si="52"/>
        <v>W</v>
      </c>
      <c r="L142" s="47">
        <f t="shared" si="53"/>
        <v>5.7099266051077686</v>
      </c>
      <c r="M142" s="47">
        <f t="shared" si="54"/>
        <v>318.03584665067746</v>
      </c>
      <c r="N142" s="47">
        <f t="shared" si="55"/>
        <v>0.3318097727959205</v>
      </c>
      <c r="O142" s="47">
        <f t="shared" si="56"/>
        <v>0.15576323987538779</v>
      </c>
      <c r="P142" s="47">
        <f t="shared" si="57"/>
        <v>45.404984423675593</v>
      </c>
      <c r="S142" s="15">
        <f t="shared" si="58"/>
        <v>4.2604374826996673E-2</v>
      </c>
      <c r="T142" s="15">
        <f t="shared" si="59"/>
        <v>1</v>
      </c>
      <c r="U142" s="15">
        <f t="shared" si="60"/>
        <v>4.24569196215612</v>
      </c>
      <c r="V142" s="15">
        <f t="shared" si="61"/>
        <v>-3.8180311154049598</v>
      </c>
      <c r="W142" s="15">
        <f t="shared" si="64"/>
        <v>-41.964153349322558</v>
      </c>
    </row>
    <row r="143" spans="1:23" x14ac:dyDescent="0.2">
      <c r="A143" s="48">
        <f t="shared" si="65"/>
        <v>133</v>
      </c>
      <c r="B143" s="196">
        <v>1891.5</v>
      </c>
      <c r="C143" s="51">
        <v>0.41</v>
      </c>
      <c r="D143" s="51">
        <v>184.38</v>
      </c>
      <c r="E143" s="14">
        <f t="shared" si="62"/>
        <v>12.829999999999927</v>
      </c>
      <c r="F143" s="47">
        <f t="shared" si="63"/>
        <v>1891.3914532256626</v>
      </c>
      <c r="G143" s="47">
        <f t="shared" si="48"/>
        <v>4.1573792375930836</v>
      </c>
      <c r="H143" s="49">
        <f t="shared" si="49"/>
        <v>4.1573792375930827</v>
      </c>
      <c r="I143" s="50" t="str">
        <f t="shared" si="50"/>
        <v>N</v>
      </c>
      <c r="J143" s="49">
        <f t="shared" si="51"/>
        <v>3.821017099232058</v>
      </c>
      <c r="K143" s="50" t="str">
        <f t="shared" si="52"/>
        <v>W</v>
      </c>
      <c r="L143" s="47">
        <f t="shared" si="53"/>
        <v>5.6465895722811137</v>
      </c>
      <c r="M143" s="47">
        <f t="shared" si="54"/>
        <v>317.41410983188132</v>
      </c>
      <c r="N143" s="47">
        <f t="shared" si="55"/>
        <v>0.35920627952255807</v>
      </c>
      <c r="O143" s="47">
        <f t="shared" si="56"/>
        <v>0.2338269680436488</v>
      </c>
      <c r="P143" s="47">
        <f t="shared" si="57"/>
        <v>39.594699922057778</v>
      </c>
      <c r="S143" s="15">
        <f t="shared" si="58"/>
        <v>4.6086165662743941E-2</v>
      </c>
      <c r="T143" s="15">
        <f t="shared" si="59"/>
        <v>1</v>
      </c>
      <c r="U143" s="15">
        <f t="shared" si="60"/>
        <v>4.1573792375930827</v>
      </c>
      <c r="V143" s="15">
        <f t="shared" si="61"/>
        <v>-3.821017099232058</v>
      </c>
      <c r="W143" s="15">
        <f t="shared" si="64"/>
        <v>-42.585890168118688</v>
      </c>
    </row>
    <row r="144" spans="1:23" x14ac:dyDescent="0.2">
      <c r="A144" s="48">
        <f t="shared" si="65"/>
        <v>134</v>
      </c>
      <c r="B144" s="196">
        <v>1904.33</v>
      </c>
      <c r="C144" s="51">
        <v>0.44</v>
      </c>
      <c r="D144" s="51">
        <v>188.77</v>
      </c>
      <c r="E144" s="14">
        <f t="shared" si="62"/>
        <v>12.829999999999927</v>
      </c>
      <c r="F144" s="47">
        <f t="shared" si="63"/>
        <v>1904.2210998245557</v>
      </c>
      <c r="G144" s="47">
        <f t="shared" si="48"/>
        <v>4.0629217057404388</v>
      </c>
      <c r="H144" s="49">
        <f t="shared" si="49"/>
        <v>4.0629217057404405</v>
      </c>
      <c r="I144" s="50" t="str">
        <f t="shared" si="50"/>
        <v>N</v>
      </c>
      <c r="J144" s="49">
        <f t="shared" si="51"/>
        <v>3.8320339395796332</v>
      </c>
      <c r="K144" s="50" t="str">
        <f t="shared" si="52"/>
        <v>W</v>
      </c>
      <c r="L144" s="47">
        <f t="shared" si="53"/>
        <v>5.5849634646134447</v>
      </c>
      <c r="M144" s="47">
        <f t="shared" si="54"/>
        <v>316.67513608078104</v>
      </c>
      <c r="N144" s="47">
        <f t="shared" si="55"/>
        <v>0.344935244177977</v>
      </c>
      <c r="O144" s="47">
        <f t="shared" si="56"/>
        <v>0.23382696804364925</v>
      </c>
      <c r="P144" s="47">
        <f t="shared" si="57"/>
        <v>34.216679657054087</v>
      </c>
      <c r="S144" s="15">
        <f t="shared" si="58"/>
        <v>4.4255191828034196E-2</v>
      </c>
      <c r="T144" s="15">
        <f t="shared" si="59"/>
        <v>1</v>
      </c>
      <c r="U144" s="15">
        <f t="shared" si="60"/>
        <v>4.0629217057404405</v>
      </c>
      <c r="V144" s="15">
        <f t="shared" si="61"/>
        <v>-3.8320339395796332</v>
      </c>
      <c r="W144" s="15">
        <f t="shared" si="64"/>
        <v>-43.324863919218942</v>
      </c>
    </row>
    <row r="145" spans="1:23" x14ac:dyDescent="0.2">
      <c r="A145" s="48">
        <f t="shared" si="65"/>
        <v>135</v>
      </c>
      <c r="B145" s="196">
        <v>1917.17</v>
      </c>
      <c r="C145" s="51">
        <v>0.47</v>
      </c>
      <c r="D145" s="51">
        <v>192.57</v>
      </c>
      <c r="E145" s="14">
        <f t="shared" si="62"/>
        <v>12.840000000000146</v>
      </c>
      <c r="F145" s="47">
        <f t="shared" si="63"/>
        <v>1917.0606945195127</v>
      </c>
      <c r="G145" s="47">
        <f t="shared" si="48"/>
        <v>3.9627958590516759</v>
      </c>
      <c r="H145" s="49">
        <f t="shared" si="49"/>
        <v>3.9627958590516754</v>
      </c>
      <c r="I145" s="50" t="str">
        <f t="shared" si="50"/>
        <v>N</v>
      </c>
      <c r="J145" s="49">
        <f t="shared" si="51"/>
        <v>3.8510120311660643</v>
      </c>
      <c r="K145" s="50" t="str">
        <f t="shared" si="52"/>
        <v>W</v>
      </c>
      <c r="L145" s="47">
        <f t="shared" si="53"/>
        <v>5.5257619098820108</v>
      </c>
      <c r="M145" s="47">
        <f t="shared" si="54"/>
        <v>315.81961378732302</v>
      </c>
      <c r="N145" s="47">
        <f t="shared" si="55"/>
        <v>0.33127564230925605</v>
      </c>
      <c r="O145" s="47">
        <f t="shared" si="56"/>
        <v>0.23364485981308122</v>
      </c>
      <c r="P145" s="47">
        <f t="shared" si="57"/>
        <v>29.595015576323519</v>
      </c>
      <c r="S145" s="15">
        <f t="shared" si="58"/>
        <v>4.2535792472508958E-2</v>
      </c>
      <c r="T145" s="15">
        <f t="shared" si="59"/>
        <v>1</v>
      </c>
      <c r="U145" s="15">
        <f t="shared" si="60"/>
        <v>3.9627958590516754</v>
      </c>
      <c r="V145" s="15">
        <f t="shared" si="61"/>
        <v>-3.8510120311660643</v>
      </c>
      <c r="W145" s="15">
        <f t="shared" si="64"/>
        <v>-44.180386212676993</v>
      </c>
    </row>
    <row r="146" spans="1:23" x14ac:dyDescent="0.2">
      <c r="A146" s="48">
        <f t="shared" si="65"/>
        <v>136</v>
      </c>
      <c r="B146" s="196">
        <v>1930</v>
      </c>
      <c r="C146" s="51">
        <v>0.51</v>
      </c>
      <c r="D146" s="51">
        <v>195.86</v>
      </c>
      <c r="E146" s="14">
        <f t="shared" si="62"/>
        <v>12.829999999999927</v>
      </c>
      <c r="F146" s="47">
        <f t="shared" si="63"/>
        <v>1929.8902245563609</v>
      </c>
      <c r="G146" s="47">
        <f t="shared" si="48"/>
        <v>3.8565085684153981</v>
      </c>
      <c r="H146" s="49">
        <f t="shared" si="49"/>
        <v>3.856508568415399</v>
      </c>
      <c r="I146" s="50" t="str">
        <f t="shared" si="50"/>
        <v>N</v>
      </c>
      <c r="J146" s="49">
        <f t="shared" si="51"/>
        <v>3.8780690793822625</v>
      </c>
      <c r="K146" s="50" t="str">
        <f t="shared" si="52"/>
        <v>W</v>
      </c>
      <c r="L146" s="47">
        <f t="shared" si="53"/>
        <v>5.4691935532327047</v>
      </c>
      <c r="M146" s="47">
        <f t="shared" si="54"/>
        <v>314.8402856446541</v>
      </c>
      <c r="N146" s="47">
        <f t="shared" si="55"/>
        <v>0.38104986380486716</v>
      </c>
      <c r="O146" s="47">
        <f t="shared" si="56"/>
        <v>0.31176929072486564</v>
      </c>
      <c r="P146" s="47">
        <f t="shared" si="57"/>
        <v>25.643024162120337</v>
      </c>
      <c r="S146" s="15">
        <f t="shared" si="58"/>
        <v>4.8888697526164177E-2</v>
      </c>
      <c r="T146" s="15">
        <f t="shared" si="59"/>
        <v>1</v>
      </c>
      <c r="U146" s="15">
        <f t="shared" si="60"/>
        <v>3.856508568415399</v>
      </c>
      <c r="V146" s="15">
        <f t="shared" si="61"/>
        <v>-3.8780690793822625</v>
      </c>
      <c r="W146" s="15">
        <f t="shared" si="64"/>
        <v>-45.159714355345898</v>
      </c>
    </row>
    <row r="147" spans="1:23" x14ac:dyDescent="0.2">
      <c r="A147" s="48">
        <f t="shared" si="65"/>
        <v>137</v>
      </c>
      <c r="B147" s="196">
        <v>1944</v>
      </c>
      <c r="C147" s="51">
        <v>0.51</v>
      </c>
      <c r="D147" s="51">
        <v>198.85</v>
      </c>
      <c r="E147" s="14">
        <f t="shared" si="62"/>
        <v>14</v>
      </c>
      <c r="F147" s="47">
        <f t="shared" si="63"/>
        <v>1943.8896699430866</v>
      </c>
      <c r="G147" s="47">
        <f t="shared" si="48"/>
        <v>3.7376072965807814</v>
      </c>
      <c r="H147" s="49">
        <f t="shared" si="49"/>
        <v>3.7376072965807823</v>
      </c>
      <c r="I147" s="50" t="str">
        <f t="shared" si="50"/>
        <v>N</v>
      </c>
      <c r="J147" s="49">
        <f t="shared" si="51"/>
        <v>3.9152279486007853</v>
      </c>
      <c r="K147" s="50" t="str">
        <f t="shared" si="52"/>
        <v>W</v>
      </c>
      <c r="L147" s="47">
        <f t="shared" si="53"/>
        <v>5.4128290378469019</v>
      </c>
      <c r="M147" s="47">
        <f t="shared" si="54"/>
        <v>313.67041605297976</v>
      </c>
      <c r="N147" s="47">
        <f t="shared" si="55"/>
        <v>0.19007967652534202</v>
      </c>
      <c r="O147" s="47">
        <f t="shared" si="56"/>
        <v>0</v>
      </c>
      <c r="P147" s="47">
        <f t="shared" si="57"/>
        <v>21.357142857142719</v>
      </c>
      <c r="S147" s="15">
        <f t="shared" si="58"/>
        <v>2.6611154713547882E-2</v>
      </c>
      <c r="T147" s="15">
        <f t="shared" si="59"/>
        <v>1</v>
      </c>
      <c r="U147" s="15">
        <f t="shared" si="60"/>
        <v>3.7376072965807823</v>
      </c>
      <c r="V147" s="15">
        <f t="shared" si="61"/>
        <v>-3.9152279486007853</v>
      </c>
      <c r="W147" s="15">
        <f t="shared" si="64"/>
        <v>-46.329583947020261</v>
      </c>
    </row>
    <row r="148" spans="1:23" x14ac:dyDescent="0.2">
      <c r="A148" s="48">
        <f t="shared" si="65"/>
        <v>138</v>
      </c>
      <c r="B148" s="196">
        <v>1958</v>
      </c>
      <c r="C148" s="51">
        <v>0.51</v>
      </c>
      <c r="D148" s="51">
        <v>201.84</v>
      </c>
      <c r="E148" s="14">
        <f t="shared" si="62"/>
        <v>14</v>
      </c>
      <c r="F148" s="47">
        <f t="shared" si="63"/>
        <v>1957.8891153298123</v>
      </c>
      <c r="G148" s="47">
        <f t="shared" si="48"/>
        <v>3.6208061588956135</v>
      </c>
      <c r="H148" s="49">
        <f t="shared" si="49"/>
        <v>3.6208061588956135</v>
      </c>
      <c r="I148" s="50" t="str">
        <f t="shared" si="50"/>
        <v>N</v>
      </c>
      <c r="J148" s="49">
        <f t="shared" si="51"/>
        <v>3.9585383196559829</v>
      </c>
      <c r="K148" s="50" t="str">
        <f t="shared" si="52"/>
        <v>W</v>
      </c>
      <c r="L148" s="47">
        <f t="shared" si="53"/>
        <v>5.3647239321777986</v>
      </c>
      <c r="M148" s="47">
        <f t="shared" si="54"/>
        <v>312.44861373245629</v>
      </c>
      <c r="N148" s="47">
        <f t="shared" si="55"/>
        <v>0.19007967652534202</v>
      </c>
      <c r="O148" s="47">
        <f t="shared" si="56"/>
        <v>0</v>
      </c>
      <c r="P148" s="47">
        <f t="shared" si="57"/>
        <v>21.357142857142922</v>
      </c>
      <c r="S148" s="15">
        <f t="shared" si="58"/>
        <v>2.6611154713547882E-2</v>
      </c>
      <c r="T148" s="15">
        <f t="shared" si="59"/>
        <v>1</v>
      </c>
      <c r="U148" s="15">
        <f t="shared" si="60"/>
        <v>3.6208061588956135</v>
      </c>
      <c r="V148" s="15">
        <f t="shared" si="61"/>
        <v>-3.9585383196559829</v>
      </c>
      <c r="W148" s="15">
        <f t="shared" si="64"/>
        <v>-47.55138626754372</v>
      </c>
    </row>
    <row r="149" spans="1:23" x14ac:dyDescent="0.2">
      <c r="A149" s="48">
        <f t="shared" si="65"/>
        <v>139</v>
      </c>
      <c r="B149" s="196">
        <v>1972</v>
      </c>
      <c r="C149" s="51">
        <v>0.51</v>
      </c>
      <c r="D149" s="51">
        <v>204.83</v>
      </c>
      <c r="E149" s="14">
        <f t="shared" si="62"/>
        <v>14</v>
      </c>
      <c r="F149" s="47">
        <f t="shared" si="63"/>
        <v>1971.888560716538</v>
      </c>
      <c r="G149" s="47">
        <f t="shared" si="48"/>
        <v>3.5064231689082734</v>
      </c>
      <c r="H149" s="49">
        <f t="shared" si="49"/>
        <v>3.5064231689082725</v>
      </c>
      <c r="I149" s="50" t="str">
        <f t="shared" si="50"/>
        <v>N</v>
      </c>
      <c r="J149" s="49">
        <f t="shared" si="51"/>
        <v>4.0078822717377172</v>
      </c>
      <c r="K149" s="50" t="str">
        <f t="shared" si="52"/>
        <v>W</v>
      </c>
      <c r="L149" s="47">
        <f t="shared" si="53"/>
        <v>5.3252346186404047</v>
      </c>
      <c r="M149" s="47">
        <f t="shared" si="54"/>
        <v>311.18208856151853</v>
      </c>
      <c r="N149" s="47">
        <f t="shared" si="55"/>
        <v>0.19007967652534202</v>
      </c>
      <c r="O149" s="47">
        <f t="shared" si="56"/>
        <v>0</v>
      </c>
      <c r="P149" s="47">
        <f t="shared" si="57"/>
        <v>21.357142857142922</v>
      </c>
      <c r="S149" s="15">
        <f t="shared" si="58"/>
        <v>2.6611154713547882E-2</v>
      </c>
      <c r="T149" s="15">
        <f t="shared" si="59"/>
        <v>1</v>
      </c>
      <c r="U149" s="15">
        <f t="shared" si="60"/>
        <v>3.5064231689082725</v>
      </c>
      <c r="V149" s="15">
        <f t="shared" si="61"/>
        <v>-4.0078822717377172</v>
      </c>
      <c r="W149" s="15">
        <f t="shared" si="64"/>
        <v>-48.817911438481495</v>
      </c>
    </row>
    <row r="150" spans="1:23" x14ac:dyDescent="0.2">
      <c r="A150" s="48">
        <f t="shared" si="65"/>
        <v>140</v>
      </c>
      <c r="B150" s="196">
        <v>1986</v>
      </c>
      <c r="C150" s="51">
        <v>0.51</v>
      </c>
      <c r="D150" s="51">
        <v>207.78</v>
      </c>
      <c r="E150" s="14">
        <f t="shared" si="62"/>
        <v>14</v>
      </c>
      <c r="F150" s="47">
        <f t="shared" si="63"/>
        <v>1985.8880061032637</v>
      </c>
      <c r="G150" s="47">
        <f t="shared" si="48"/>
        <v>3.3947494690396498</v>
      </c>
      <c r="H150" s="49">
        <f t="shared" si="49"/>
        <v>3.3947494690396498</v>
      </c>
      <c r="I150" s="50" t="str">
        <f t="shared" si="50"/>
        <v>N</v>
      </c>
      <c r="J150" s="49">
        <f t="shared" si="51"/>
        <v>4.0630869782476875</v>
      </c>
      <c r="K150" s="50" t="str">
        <f t="shared" si="52"/>
        <v>W</v>
      </c>
      <c r="L150" s="47">
        <f t="shared" si="53"/>
        <v>5.2946198872393957</v>
      </c>
      <c r="M150" s="47">
        <f t="shared" si="54"/>
        <v>309.87909118269454</v>
      </c>
      <c r="N150" s="47">
        <f t="shared" si="55"/>
        <v>0.18753737017207547</v>
      </c>
      <c r="O150" s="47">
        <f t="shared" si="56"/>
        <v>0</v>
      </c>
      <c r="P150" s="47">
        <f t="shared" si="57"/>
        <v>21.071428571428491</v>
      </c>
      <c r="S150" s="15">
        <f t="shared" si="58"/>
        <v>2.6255231824090567E-2</v>
      </c>
      <c r="T150" s="15">
        <f t="shared" si="59"/>
        <v>1</v>
      </c>
      <c r="U150" s="15">
        <f t="shared" si="60"/>
        <v>3.3947494690396498</v>
      </c>
      <c r="V150" s="15">
        <f t="shared" si="61"/>
        <v>-4.0630869782476875</v>
      </c>
      <c r="W150" s="15">
        <f t="shared" si="64"/>
        <v>-50.120908817305484</v>
      </c>
    </row>
    <row r="151" spans="1:23" x14ac:dyDescent="0.2">
      <c r="A151" s="48">
        <f t="shared" si="65"/>
        <v>141</v>
      </c>
      <c r="B151" s="196">
        <v>2000</v>
      </c>
      <c r="C151" s="51">
        <v>0.52</v>
      </c>
      <c r="D151" s="51">
        <v>210.68</v>
      </c>
      <c r="E151" s="14">
        <f t="shared" si="62"/>
        <v>14</v>
      </c>
      <c r="F151" s="47">
        <f t="shared" si="63"/>
        <v>1999.8874405086792</v>
      </c>
      <c r="G151" s="47">
        <f t="shared" si="48"/>
        <v>3.2849863900428193</v>
      </c>
      <c r="H151" s="49">
        <f t="shared" si="49"/>
        <v>3.2849863900428207</v>
      </c>
      <c r="I151" s="50" t="str">
        <f t="shared" si="50"/>
        <v>N</v>
      </c>
      <c r="J151" s="49">
        <f t="shared" si="51"/>
        <v>4.1245423596343915</v>
      </c>
      <c r="K151" s="50" t="str">
        <f t="shared" si="52"/>
        <v>W</v>
      </c>
      <c r="L151" s="47">
        <f t="shared" si="53"/>
        <v>5.2728536163243716</v>
      </c>
      <c r="M151" s="47">
        <f t="shared" si="54"/>
        <v>308.53552323834026</v>
      </c>
      <c r="N151" s="47">
        <f t="shared" si="55"/>
        <v>0.19939125081351552</v>
      </c>
      <c r="O151" s="47">
        <f t="shared" si="56"/>
        <v>7.1428571428571494E-2</v>
      </c>
      <c r="P151" s="47">
        <f t="shared" si="57"/>
        <v>20.714285714285754</v>
      </c>
      <c r="S151" s="15">
        <f t="shared" si="58"/>
        <v>2.7914775113892173E-2</v>
      </c>
      <c r="T151" s="15">
        <f t="shared" si="59"/>
        <v>1</v>
      </c>
      <c r="U151" s="15">
        <f t="shared" si="60"/>
        <v>3.2849863900428207</v>
      </c>
      <c r="V151" s="15">
        <f t="shared" si="61"/>
        <v>-4.1245423596343915</v>
      </c>
      <c r="W151" s="15">
        <f t="shared" si="64"/>
        <v>-51.464476761659732</v>
      </c>
    </row>
    <row r="152" spans="1:23" x14ac:dyDescent="0.2">
      <c r="A152" s="48">
        <f t="shared" si="65"/>
        <v>142</v>
      </c>
      <c r="B152" s="196">
        <v>2014</v>
      </c>
      <c r="C152" s="51">
        <v>0.52</v>
      </c>
      <c r="D152" s="51">
        <v>213.53</v>
      </c>
      <c r="E152" s="14">
        <f t="shared" si="62"/>
        <v>14</v>
      </c>
      <c r="F152" s="47">
        <f t="shared" si="63"/>
        <v>2013.8868639327848</v>
      </c>
      <c r="G152" s="47">
        <f t="shared" si="48"/>
        <v>3.1773917602952326</v>
      </c>
      <c r="H152" s="49">
        <f t="shared" si="49"/>
        <v>3.1773917602952348</v>
      </c>
      <c r="I152" s="50" t="str">
        <f t="shared" si="50"/>
        <v>N</v>
      </c>
      <c r="J152" s="49">
        <f t="shared" si="51"/>
        <v>4.1920494285236831</v>
      </c>
      <c r="K152" s="50" t="str">
        <f t="shared" si="52"/>
        <v>W</v>
      </c>
      <c r="L152" s="47">
        <f t="shared" si="53"/>
        <v>5.2601422803549518</v>
      </c>
      <c r="M152" s="47">
        <f t="shared" si="54"/>
        <v>307.1605500268322</v>
      </c>
      <c r="N152" s="47">
        <f t="shared" si="55"/>
        <v>0.18473398682669678</v>
      </c>
      <c r="O152" s="47">
        <f t="shared" si="56"/>
        <v>0</v>
      </c>
      <c r="P152" s="47">
        <f t="shared" si="57"/>
        <v>20.357142857142819</v>
      </c>
      <c r="S152" s="15">
        <f t="shared" si="58"/>
        <v>2.5862758155737547E-2</v>
      </c>
      <c r="T152" s="15">
        <f t="shared" si="59"/>
        <v>1</v>
      </c>
      <c r="U152" s="15">
        <f t="shared" si="60"/>
        <v>3.1773917602952348</v>
      </c>
      <c r="V152" s="15">
        <f t="shared" si="61"/>
        <v>-4.1920494285236831</v>
      </c>
      <c r="W152" s="15">
        <f t="shared" si="64"/>
        <v>-52.839449973167795</v>
      </c>
    </row>
    <row r="153" spans="1:23" x14ac:dyDescent="0.2">
      <c r="A153" s="48">
        <f t="shared" si="65"/>
        <v>143</v>
      </c>
      <c r="B153" s="196">
        <v>2028.17</v>
      </c>
      <c r="C153" s="51">
        <v>0.55000000000000004</v>
      </c>
      <c r="D153" s="51">
        <v>216.38</v>
      </c>
      <c r="E153" s="14">
        <f t="shared" si="62"/>
        <v>14.170000000000073</v>
      </c>
      <c r="F153" s="47">
        <f t="shared" si="63"/>
        <v>2028.0562457167739</v>
      </c>
      <c r="G153" s="47">
        <f t="shared" si="48"/>
        <v>3.069036073006477</v>
      </c>
      <c r="H153" s="49">
        <f t="shared" si="49"/>
        <v>3.0690360730064805</v>
      </c>
      <c r="I153" s="50" t="str">
        <f t="shared" si="50"/>
        <v>N</v>
      </c>
      <c r="J153" s="49">
        <f t="shared" si="51"/>
        <v>4.2679066947640347</v>
      </c>
      <c r="K153" s="50" t="str">
        <f t="shared" si="52"/>
        <v>W</v>
      </c>
      <c r="L153" s="47">
        <f t="shared" si="53"/>
        <v>5.2568060619188444</v>
      </c>
      <c r="M153" s="47">
        <f t="shared" si="54"/>
        <v>305.71977355795633</v>
      </c>
      <c r="N153" s="47">
        <f t="shared" si="55"/>
        <v>0.28294476016561809</v>
      </c>
      <c r="O153" s="47">
        <f t="shared" si="56"/>
        <v>0.21171489061397228</v>
      </c>
      <c r="P153" s="47">
        <f t="shared" si="57"/>
        <v>20.112914608327308</v>
      </c>
      <c r="S153" s="15">
        <f t="shared" si="58"/>
        <v>4.0093272515468285E-2</v>
      </c>
      <c r="T153" s="15">
        <f t="shared" si="59"/>
        <v>1</v>
      </c>
      <c r="U153" s="15">
        <f t="shared" si="60"/>
        <v>3.0690360730064805</v>
      </c>
      <c r="V153" s="15">
        <f t="shared" si="61"/>
        <v>-4.2679066947640347</v>
      </c>
      <c r="W153" s="15">
        <f t="shared" si="64"/>
        <v>-54.280226442043649</v>
      </c>
    </row>
    <row r="154" spans="1:23" x14ac:dyDescent="0.2">
      <c r="A154" s="48">
        <f t="shared" si="65"/>
        <v>144</v>
      </c>
      <c r="B154" s="196">
        <v>2042.33</v>
      </c>
      <c r="C154" s="51">
        <v>0.59</v>
      </c>
      <c r="D154" s="51">
        <v>218.93</v>
      </c>
      <c r="E154" s="14">
        <f t="shared" si="62"/>
        <v>14.159999999999854</v>
      </c>
      <c r="F154" s="47">
        <f t="shared" si="63"/>
        <v>2042.2155441509053</v>
      </c>
      <c r="G154" s="47">
        <f t="shared" si="48"/>
        <v>2.9576062135092824</v>
      </c>
      <c r="H154" s="49">
        <f t="shared" si="49"/>
        <v>2.9576062135092793</v>
      </c>
      <c r="I154" s="50" t="str">
        <f t="shared" si="50"/>
        <v>N</v>
      </c>
      <c r="J154" s="49">
        <f t="shared" si="51"/>
        <v>4.354028677995089</v>
      </c>
      <c r="K154" s="50" t="str">
        <f t="shared" si="52"/>
        <v>W</v>
      </c>
      <c r="L154" s="47">
        <f t="shared" si="53"/>
        <v>5.2635539555505995</v>
      </c>
      <c r="M154" s="47">
        <f t="shared" si="54"/>
        <v>304.18749813078057</v>
      </c>
      <c r="N154" s="47">
        <f t="shared" si="55"/>
        <v>0.33443826607023891</v>
      </c>
      <c r="O154" s="47">
        <f t="shared" si="56"/>
        <v>0.28248587570621703</v>
      </c>
      <c r="P154" s="47">
        <f t="shared" si="57"/>
        <v>18.00847457627145</v>
      </c>
      <c r="S154" s="15">
        <f t="shared" si="58"/>
        <v>4.7356458475545336E-2</v>
      </c>
      <c r="T154" s="15">
        <f t="shared" si="59"/>
        <v>1</v>
      </c>
      <c r="U154" s="15">
        <f t="shared" si="60"/>
        <v>2.9576062135092793</v>
      </c>
      <c r="V154" s="15">
        <f t="shared" si="61"/>
        <v>-4.354028677995089</v>
      </c>
      <c r="W154" s="15">
        <f t="shared" si="64"/>
        <v>-55.81250186921946</v>
      </c>
    </row>
    <row r="155" spans="1:23" x14ac:dyDescent="0.2">
      <c r="A155" s="48">
        <f t="shared" si="65"/>
        <v>145</v>
      </c>
      <c r="B155" s="196">
        <v>2056.5</v>
      </c>
      <c r="C155" s="51">
        <v>0.62</v>
      </c>
      <c r="D155" s="51">
        <v>221.21</v>
      </c>
      <c r="E155" s="14">
        <f t="shared" si="62"/>
        <v>14.170000000000073</v>
      </c>
      <c r="F155" s="47">
        <f t="shared" si="63"/>
        <v>2056.3847537122415</v>
      </c>
      <c r="G155" s="47">
        <f t="shared" si="48"/>
        <v>2.8431771188630464</v>
      </c>
      <c r="H155" s="49">
        <f t="shared" si="49"/>
        <v>2.8431771188630481</v>
      </c>
      <c r="I155" s="50" t="str">
        <f t="shared" si="50"/>
        <v>N</v>
      </c>
      <c r="J155" s="49">
        <f t="shared" si="51"/>
        <v>4.4503810083497752</v>
      </c>
      <c r="K155" s="50" t="str">
        <f t="shared" si="52"/>
        <v>W</v>
      </c>
      <c r="L155" s="47">
        <f t="shared" si="53"/>
        <v>5.2810555051719295</v>
      </c>
      <c r="M155" s="47">
        <f t="shared" si="54"/>
        <v>302.57294302094812</v>
      </c>
      <c r="N155" s="47">
        <f t="shared" si="55"/>
        <v>0.27141695272746963</v>
      </c>
      <c r="O155" s="47">
        <f t="shared" si="56"/>
        <v>0.21171489061397228</v>
      </c>
      <c r="P155" s="47">
        <f t="shared" si="57"/>
        <v>16.090331686661887</v>
      </c>
      <c r="S155" s="15">
        <f t="shared" si="58"/>
        <v>3.8459782201482648E-2</v>
      </c>
      <c r="T155" s="15">
        <f t="shared" si="59"/>
        <v>1</v>
      </c>
      <c r="U155" s="15">
        <f t="shared" si="60"/>
        <v>2.8431771188630481</v>
      </c>
      <c r="V155" s="15">
        <f t="shared" si="61"/>
        <v>-4.4503810083497752</v>
      </c>
      <c r="W155" s="15">
        <f t="shared" si="64"/>
        <v>-57.427056979051883</v>
      </c>
    </row>
    <row r="156" spans="1:23" x14ac:dyDescent="0.2">
      <c r="A156" s="48">
        <f t="shared" si="65"/>
        <v>146</v>
      </c>
      <c r="B156" s="196">
        <v>2070.67</v>
      </c>
      <c r="C156" s="51">
        <v>0.65</v>
      </c>
      <c r="D156" s="51">
        <v>223.27</v>
      </c>
      <c r="E156" s="14">
        <f t="shared" ref="E156:E171" si="66">IF($B156="","",B156-B155)</f>
        <v>14.170000000000073</v>
      </c>
      <c r="F156" s="47">
        <f t="shared" si="63"/>
        <v>2070.5538829895718</v>
      </c>
      <c r="G156" s="47">
        <f t="shared" si="48"/>
        <v>2.726977979792319</v>
      </c>
      <c r="H156" s="49">
        <f t="shared" si="49"/>
        <v>2.7269779797923173</v>
      </c>
      <c r="I156" s="50" t="str">
        <f t="shared" si="50"/>
        <v>N</v>
      </c>
      <c r="J156" s="49">
        <f t="shared" si="51"/>
        <v>4.5559819360564147</v>
      </c>
      <c r="K156" s="50" t="str">
        <f t="shared" si="52"/>
        <v>W</v>
      </c>
      <c r="L156" s="47">
        <f t="shared" si="53"/>
        <v>5.3097439019169785</v>
      </c>
      <c r="M156" s="47">
        <f t="shared" si="54"/>
        <v>300.90258367163148</v>
      </c>
      <c r="N156" s="47">
        <f t="shared" si="55"/>
        <v>0.26601576926419374</v>
      </c>
      <c r="O156" s="47">
        <f t="shared" si="56"/>
        <v>0.21171489061397228</v>
      </c>
      <c r="P156" s="47">
        <f t="shared" si="57"/>
        <v>14.537755822159435</v>
      </c>
      <c r="S156" s="15">
        <f t="shared" si="58"/>
        <v>3.7694434504736446E-2</v>
      </c>
      <c r="T156" s="15">
        <f t="shared" si="59"/>
        <v>1</v>
      </c>
      <c r="U156" s="15">
        <f t="shared" si="60"/>
        <v>2.7269779797923173</v>
      </c>
      <c r="V156" s="15">
        <f t="shared" si="61"/>
        <v>-4.5559819360564147</v>
      </c>
      <c r="W156" s="15">
        <f t="shared" ref="W156:W171" si="67">DEGREES(ATAN(V156/U156))</f>
        <v>-59.097416328368546</v>
      </c>
    </row>
    <row r="157" spans="1:23" x14ac:dyDescent="0.2">
      <c r="A157" s="48">
        <f t="shared" si="65"/>
        <v>147</v>
      </c>
      <c r="B157" s="196">
        <v>2084.83</v>
      </c>
      <c r="C157" s="51">
        <v>0.68</v>
      </c>
      <c r="D157" s="51">
        <v>225.13</v>
      </c>
      <c r="E157" s="14">
        <f t="shared" si="66"/>
        <v>14.159999999999854</v>
      </c>
      <c r="F157" s="47">
        <f t="shared" si="63"/>
        <v>2084.712928772231</v>
      </c>
      <c r="G157" s="47">
        <f t="shared" si="48"/>
        <v>2.6092158549652407</v>
      </c>
      <c r="H157" s="49">
        <f t="shared" si="49"/>
        <v>2.6092158549652402</v>
      </c>
      <c r="I157" s="50" t="str">
        <f t="shared" si="50"/>
        <v>N</v>
      </c>
      <c r="J157" s="49">
        <f t="shared" si="51"/>
        <v>4.6705845210696513</v>
      </c>
      <c r="K157" s="50" t="str">
        <f t="shared" si="52"/>
        <v>W</v>
      </c>
      <c r="L157" s="47">
        <f t="shared" si="53"/>
        <v>5.3499875837479669</v>
      </c>
      <c r="M157" s="47">
        <f t="shared" si="54"/>
        <v>299.18985114534485</v>
      </c>
      <c r="N157" s="47">
        <f t="shared" si="55"/>
        <v>0.26098831039660531</v>
      </c>
      <c r="O157" s="47">
        <f t="shared" si="56"/>
        <v>0.21186440677966337</v>
      </c>
      <c r="P157" s="47">
        <f t="shared" si="57"/>
        <v>13.135593220339013</v>
      </c>
      <c r="S157" s="15">
        <f t="shared" si="58"/>
        <v>3.695594475215893E-2</v>
      </c>
      <c r="T157" s="15">
        <f t="shared" si="59"/>
        <v>1</v>
      </c>
      <c r="U157" s="15">
        <f t="shared" si="60"/>
        <v>2.6092158549652402</v>
      </c>
      <c r="V157" s="15">
        <f t="shared" si="61"/>
        <v>-4.6705845210696513</v>
      </c>
      <c r="W157" s="15">
        <f t="shared" si="67"/>
        <v>-60.810148854655168</v>
      </c>
    </row>
    <row r="158" spans="1:23" x14ac:dyDescent="0.2">
      <c r="A158" s="48">
        <f t="shared" si="65"/>
        <v>148</v>
      </c>
      <c r="B158" s="196">
        <v>2099</v>
      </c>
      <c r="C158" s="51">
        <v>0.72</v>
      </c>
      <c r="D158" s="51">
        <v>226.82</v>
      </c>
      <c r="E158" s="14">
        <f t="shared" si="66"/>
        <v>14.170000000000073</v>
      </c>
      <c r="F158" s="47">
        <f t="shared" si="63"/>
        <v>2098.8818703970983</v>
      </c>
      <c r="G158" s="47">
        <f t="shared" si="48"/>
        <v>2.4889713523116561</v>
      </c>
      <c r="H158" s="49">
        <f t="shared" si="49"/>
        <v>2.488971352311657</v>
      </c>
      <c r="I158" s="50" t="str">
        <f t="shared" si="50"/>
        <v>N</v>
      </c>
      <c r="J158" s="49">
        <f t="shared" si="51"/>
        <v>4.7950976232728797</v>
      </c>
      <c r="K158" s="50" t="str">
        <f t="shared" si="52"/>
        <v>W</v>
      </c>
      <c r="L158" s="47">
        <f t="shared" si="53"/>
        <v>5.4025863814792761</v>
      </c>
      <c r="M158" s="47">
        <f t="shared" si="54"/>
        <v>297.43228413802314</v>
      </c>
      <c r="N158" s="47">
        <f t="shared" si="55"/>
        <v>0.31764357936717091</v>
      </c>
      <c r="O158" s="47">
        <f t="shared" si="56"/>
        <v>0.28228652081862893</v>
      </c>
      <c r="P158" s="47">
        <f t="shared" si="57"/>
        <v>11.926605504587078</v>
      </c>
      <c r="S158" s="15">
        <f t="shared" si="58"/>
        <v>4.5010095196328356E-2</v>
      </c>
      <c r="T158" s="15">
        <f t="shared" si="59"/>
        <v>1</v>
      </c>
      <c r="U158" s="15">
        <f t="shared" si="60"/>
        <v>2.488971352311657</v>
      </c>
      <c r="V158" s="15">
        <f t="shared" si="61"/>
        <v>-4.7950976232728797</v>
      </c>
      <c r="W158" s="15">
        <f t="shared" si="67"/>
        <v>-62.567715861976858</v>
      </c>
    </row>
    <row r="159" spans="1:23" x14ac:dyDescent="0.2">
      <c r="A159" s="48">
        <f t="shared" si="65"/>
        <v>149</v>
      </c>
      <c r="B159" s="196">
        <v>2113.17</v>
      </c>
      <c r="C159" s="51">
        <v>0.72</v>
      </c>
      <c r="D159" s="51">
        <v>229.55</v>
      </c>
      <c r="E159" s="14">
        <f t="shared" si="66"/>
        <v>14.170000000000073</v>
      </c>
      <c r="F159" s="47">
        <f t="shared" si="63"/>
        <v>2113.0507515934664</v>
      </c>
      <c r="G159" s="47">
        <f t="shared" si="48"/>
        <v>2.3702869989920901</v>
      </c>
      <c r="H159" s="49">
        <f t="shared" si="49"/>
        <v>2.3702869989920883</v>
      </c>
      <c r="I159" s="50" t="str">
        <f t="shared" si="50"/>
        <v>N</v>
      </c>
      <c r="J159" s="49">
        <f t="shared" si="51"/>
        <v>4.9277689302369447</v>
      </c>
      <c r="K159" s="50" t="str">
        <f t="shared" si="52"/>
        <v>W</v>
      </c>
      <c r="L159" s="47">
        <f t="shared" si="53"/>
        <v>5.468195962783291</v>
      </c>
      <c r="M159" s="47">
        <f t="shared" si="54"/>
        <v>295.68783907525528</v>
      </c>
      <c r="N159" s="47">
        <f t="shared" si="55"/>
        <v>0.2420751190935454</v>
      </c>
      <c r="O159" s="47">
        <f t="shared" si="56"/>
        <v>0</v>
      </c>
      <c r="P159" s="47">
        <f t="shared" si="57"/>
        <v>19.266055045871589</v>
      </c>
      <c r="S159" s="15">
        <f t="shared" si="58"/>
        <v>3.4302044375555563E-2</v>
      </c>
      <c r="T159" s="15">
        <f t="shared" si="59"/>
        <v>1</v>
      </c>
      <c r="U159" s="15">
        <f t="shared" si="60"/>
        <v>2.3702869989920883</v>
      </c>
      <c r="V159" s="15">
        <f t="shared" si="61"/>
        <v>-4.9277689302369447</v>
      </c>
      <c r="W159" s="15">
        <f t="shared" si="67"/>
        <v>-64.312160924744745</v>
      </c>
    </row>
    <row r="160" spans="1:23" x14ac:dyDescent="0.2">
      <c r="A160" s="48">
        <f t="shared" si="65"/>
        <v>150</v>
      </c>
      <c r="B160" s="196">
        <v>2127.33</v>
      </c>
      <c r="C160" s="51">
        <v>0.72</v>
      </c>
      <c r="D160" s="51">
        <v>232.3</v>
      </c>
      <c r="E160" s="14">
        <f t="shared" si="66"/>
        <v>14.159999999999854</v>
      </c>
      <c r="F160" s="47">
        <f t="shared" si="63"/>
        <v>2127.2096335793922</v>
      </c>
      <c r="G160" s="47">
        <f t="shared" si="48"/>
        <v>2.2581601781862863</v>
      </c>
      <c r="H160" s="49">
        <f t="shared" si="49"/>
        <v>2.258160178186289</v>
      </c>
      <c r="I160" s="50" t="str">
        <f t="shared" si="50"/>
        <v>N</v>
      </c>
      <c r="J160" s="49">
        <f t="shared" si="51"/>
        <v>5.0658640210621968</v>
      </c>
      <c r="K160" s="50" t="str">
        <f t="shared" si="52"/>
        <v>W</v>
      </c>
      <c r="L160" s="47">
        <f t="shared" si="53"/>
        <v>5.5463741011798673</v>
      </c>
      <c r="M160" s="47">
        <f t="shared" si="54"/>
        <v>294.02540685985053</v>
      </c>
      <c r="N160" s="47">
        <f t="shared" si="55"/>
        <v>0.24402043317385325</v>
      </c>
      <c r="O160" s="47">
        <f t="shared" si="56"/>
        <v>0</v>
      </c>
      <c r="P160" s="47">
        <f t="shared" si="57"/>
        <v>19.420903954802458</v>
      </c>
      <c r="S160" s="15">
        <f t="shared" si="58"/>
        <v>3.4553293337417267E-2</v>
      </c>
      <c r="T160" s="15">
        <f t="shared" si="59"/>
        <v>1</v>
      </c>
      <c r="U160" s="15">
        <f t="shared" si="60"/>
        <v>2.258160178186289</v>
      </c>
      <c r="V160" s="15">
        <f t="shared" si="61"/>
        <v>-5.0658640210621968</v>
      </c>
      <c r="W160" s="15">
        <f t="shared" si="67"/>
        <v>-65.974593140149466</v>
      </c>
    </row>
    <row r="161" spans="1:23" x14ac:dyDescent="0.2">
      <c r="A161" s="48">
        <f t="shared" si="65"/>
        <v>151</v>
      </c>
      <c r="B161" s="196">
        <v>2141.5</v>
      </c>
      <c r="C161" s="51">
        <v>0.72</v>
      </c>
      <c r="D161" s="51">
        <v>235.05</v>
      </c>
      <c r="E161" s="14">
        <f t="shared" si="66"/>
        <v>14.170000000000073</v>
      </c>
      <c r="F161" s="47">
        <f t="shared" si="63"/>
        <v>2141.3785147757603</v>
      </c>
      <c r="G161" s="47">
        <f t="shared" si="48"/>
        <v>2.1527136127983177</v>
      </c>
      <c r="H161" s="49">
        <f t="shared" si="49"/>
        <v>2.1527136127983191</v>
      </c>
      <c r="I161" s="50" t="str">
        <f t="shared" si="50"/>
        <v>N</v>
      </c>
      <c r="J161" s="49">
        <f t="shared" si="51"/>
        <v>5.2092809263818785</v>
      </c>
      <c r="K161" s="50" t="str">
        <f t="shared" si="52"/>
        <v>W</v>
      </c>
      <c r="L161" s="47">
        <f t="shared" si="53"/>
        <v>5.6365577854478914</v>
      </c>
      <c r="M161" s="47">
        <f t="shared" si="54"/>
        <v>292.45265678535458</v>
      </c>
      <c r="N161" s="47">
        <f t="shared" si="55"/>
        <v>0.24384822397612624</v>
      </c>
      <c r="O161" s="47">
        <f t="shared" si="56"/>
        <v>0</v>
      </c>
      <c r="P161" s="47">
        <f t="shared" si="57"/>
        <v>19.407198306280776</v>
      </c>
      <c r="S161" s="15">
        <f t="shared" si="58"/>
        <v>3.4553293337417267E-2</v>
      </c>
      <c r="T161" s="15">
        <f t="shared" si="59"/>
        <v>1</v>
      </c>
      <c r="U161" s="15">
        <f t="shared" si="60"/>
        <v>2.1527136127983191</v>
      </c>
      <c r="V161" s="15">
        <f t="shared" si="61"/>
        <v>-5.2092809263818785</v>
      </c>
      <c r="W161" s="15">
        <f t="shared" si="67"/>
        <v>-67.547343214645437</v>
      </c>
    </row>
    <row r="162" spans="1:23" x14ac:dyDescent="0.2">
      <c r="A162" s="48">
        <f t="shared" si="65"/>
        <v>152</v>
      </c>
      <c r="B162" s="196">
        <v>2155.67</v>
      </c>
      <c r="C162" s="51">
        <v>0.72</v>
      </c>
      <c r="D162" s="51">
        <v>237.78</v>
      </c>
      <c r="E162" s="14">
        <f t="shared" si="66"/>
        <v>14.170000000000073</v>
      </c>
      <c r="F162" s="47">
        <f t="shared" si="63"/>
        <v>2155.5473959721285</v>
      </c>
      <c r="G162" s="47">
        <f t="shared" si="48"/>
        <v>2.0542430611641249</v>
      </c>
      <c r="H162" s="49">
        <f t="shared" si="49"/>
        <v>2.0542430611641276</v>
      </c>
      <c r="I162" s="50" t="str">
        <f t="shared" si="50"/>
        <v>N</v>
      </c>
      <c r="J162" s="49">
        <f t="shared" si="51"/>
        <v>5.3575752346856547</v>
      </c>
      <c r="K162" s="50" t="str">
        <f t="shared" si="52"/>
        <v>W</v>
      </c>
      <c r="L162" s="47">
        <f t="shared" si="53"/>
        <v>5.7379026612219564</v>
      </c>
      <c r="M162" s="47">
        <f t="shared" si="54"/>
        <v>290.97821027636274</v>
      </c>
      <c r="N162" s="47">
        <f t="shared" si="55"/>
        <v>0.2420751190935454</v>
      </c>
      <c r="O162" s="47">
        <f t="shared" si="56"/>
        <v>0</v>
      </c>
      <c r="P162" s="47">
        <f t="shared" si="57"/>
        <v>19.26605504587139</v>
      </c>
      <c r="S162" s="15">
        <f t="shared" si="58"/>
        <v>3.4302044375555563E-2</v>
      </c>
      <c r="T162" s="15">
        <f t="shared" si="59"/>
        <v>1</v>
      </c>
      <c r="U162" s="15">
        <f t="shared" si="60"/>
        <v>2.0542430611641276</v>
      </c>
      <c r="V162" s="15">
        <f t="shared" si="61"/>
        <v>-5.3575752346856547</v>
      </c>
      <c r="W162" s="15">
        <f t="shared" si="67"/>
        <v>-69.021789723637255</v>
      </c>
    </row>
    <row r="163" spans="1:23" x14ac:dyDescent="0.2">
      <c r="A163" s="48">
        <f t="shared" si="65"/>
        <v>153</v>
      </c>
      <c r="B163" s="196">
        <v>2169.83</v>
      </c>
      <c r="C163" s="51">
        <v>0.72</v>
      </c>
      <c r="D163" s="51">
        <v>240.48</v>
      </c>
      <c r="E163" s="14">
        <f t="shared" si="66"/>
        <v>14.159999999999854</v>
      </c>
      <c r="F163" s="47">
        <f t="shared" si="63"/>
        <v>2169.7062779580542</v>
      </c>
      <c r="G163" s="47">
        <f t="shared" si="48"/>
        <v>1.9629713312474317</v>
      </c>
      <c r="H163" s="49">
        <f t="shared" si="49"/>
        <v>1.9629713312474333</v>
      </c>
      <c r="I163" s="50" t="str">
        <f t="shared" si="50"/>
        <v>N</v>
      </c>
      <c r="J163" s="49">
        <f t="shared" si="51"/>
        <v>5.5102605520986412</v>
      </c>
      <c r="K163" s="50" t="str">
        <f t="shared" si="52"/>
        <v>W</v>
      </c>
      <c r="L163" s="47">
        <f t="shared" si="53"/>
        <v>5.8494638899059579</v>
      </c>
      <c r="M163" s="47">
        <f t="shared" si="54"/>
        <v>289.607896966309</v>
      </c>
      <c r="N163" s="47">
        <f t="shared" si="55"/>
        <v>0.23958452661597271</v>
      </c>
      <c r="O163" s="47">
        <f t="shared" si="56"/>
        <v>0</v>
      </c>
      <c r="P163" s="47">
        <f t="shared" si="57"/>
        <v>19.067796610169605</v>
      </c>
      <c r="S163" s="15">
        <f t="shared" si="58"/>
        <v>3.392516896882139E-2</v>
      </c>
      <c r="T163" s="15">
        <f t="shared" si="59"/>
        <v>1</v>
      </c>
      <c r="U163" s="15">
        <f t="shared" si="60"/>
        <v>1.9629713312474333</v>
      </c>
      <c r="V163" s="15">
        <f t="shared" si="61"/>
        <v>-5.5102605520986412</v>
      </c>
      <c r="W163" s="15">
        <f t="shared" si="67"/>
        <v>-70.392103033690972</v>
      </c>
    </row>
    <row r="164" spans="1:23" x14ac:dyDescent="0.2">
      <c r="A164" s="48">
        <f t="shared" si="65"/>
        <v>154</v>
      </c>
      <c r="B164" s="196">
        <v>2184</v>
      </c>
      <c r="C164" s="51">
        <v>0.73</v>
      </c>
      <c r="D164" s="51">
        <v>243.15</v>
      </c>
      <c r="E164" s="14">
        <f t="shared" si="66"/>
        <v>14.170000000000073</v>
      </c>
      <c r="F164" s="47">
        <f t="shared" si="63"/>
        <v>2183.8751435077852</v>
      </c>
      <c r="G164" s="47">
        <f t="shared" si="48"/>
        <v>1.8783340271627333</v>
      </c>
      <c r="H164" s="49">
        <f t="shared" si="49"/>
        <v>1.8783340271627349</v>
      </c>
      <c r="I164" s="50" t="str">
        <f t="shared" si="50"/>
        <v>N</v>
      </c>
      <c r="J164" s="49">
        <f t="shared" si="51"/>
        <v>5.6682687244084029</v>
      </c>
      <c r="K164" s="50" t="str">
        <f t="shared" si="52"/>
        <v>W</v>
      </c>
      <c r="L164" s="47">
        <f t="shared" si="53"/>
        <v>5.9713825074017697</v>
      </c>
      <c r="M164" s="47">
        <f t="shared" si="54"/>
        <v>288.33401030073787</v>
      </c>
      <c r="N164" s="47">
        <f t="shared" si="55"/>
        <v>0.24862043641148637</v>
      </c>
      <c r="O164" s="47">
        <f t="shared" si="56"/>
        <v>7.0571630204657426E-2</v>
      </c>
      <c r="P164" s="47">
        <f t="shared" si="57"/>
        <v>18.84262526464363</v>
      </c>
      <c r="S164" s="15">
        <f t="shared" si="58"/>
        <v>3.52295158395078E-2</v>
      </c>
      <c r="T164" s="15">
        <f t="shared" si="59"/>
        <v>1</v>
      </c>
      <c r="U164" s="15">
        <f t="shared" si="60"/>
        <v>1.8783340271627349</v>
      </c>
      <c r="V164" s="15">
        <f t="shared" si="61"/>
        <v>-5.6682687244084029</v>
      </c>
      <c r="W164" s="15">
        <f t="shared" si="67"/>
        <v>-71.665989699262113</v>
      </c>
    </row>
    <row r="165" spans="1:23" x14ac:dyDescent="0.2">
      <c r="A165" s="48">
        <f t="shared" si="65"/>
        <v>155</v>
      </c>
      <c r="B165" s="196">
        <v>2198.17</v>
      </c>
      <c r="C165" s="51">
        <v>0.76</v>
      </c>
      <c r="D165" s="51">
        <v>244.14</v>
      </c>
      <c r="E165" s="14">
        <f t="shared" si="66"/>
        <v>14.170000000000073</v>
      </c>
      <c r="F165" s="47">
        <f t="shared" si="63"/>
        <v>2198.0439451761467</v>
      </c>
      <c r="G165" s="47">
        <f t="shared" si="48"/>
        <v>1.7965744687044092</v>
      </c>
      <c r="H165" s="49">
        <f t="shared" si="49"/>
        <v>1.7965744687044096</v>
      </c>
      <c r="I165" s="50" t="str">
        <f t="shared" si="50"/>
        <v>N</v>
      </c>
      <c r="J165" s="49">
        <f t="shared" si="51"/>
        <v>5.8333697928905215</v>
      </c>
      <c r="K165" s="50" t="str">
        <f t="shared" si="52"/>
        <v>W</v>
      </c>
      <c r="L165" s="47">
        <f t="shared" si="53"/>
        <v>6.1037597398823076</v>
      </c>
      <c r="M165" s="47">
        <f t="shared" si="54"/>
        <v>287.11790447830066</v>
      </c>
      <c r="N165" s="47">
        <f t="shared" si="55"/>
        <v>0.23037342680395279</v>
      </c>
      <c r="O165" s="47">
        <f t="shared" si="56"/>
        <v>0.21171489061397228</v>
      </c>
      <c r="P165" s="47">
        <f t="shared" si="57"/>
        <v>6.9865913902609433</v>
      </c>
      <c r="S165" s="15">
        <f t="shared" si="58"/>
        <v>3.2643914578120277E-2</v>
      </c>
      <c r="T165" s="15">
        <f t="shared" si="59"/>
        <v>1</v>
      </c>
      <c r="U165" s="15">
        <f t="shared" si="60"/>
        <v>1.7965744687044096</v>
      </c>
      <c r="V165" s="15">
        <f t="shared" si="61"/>
        <v>-5.8333697928905215</v>
      </c>
      <c r="W165" s="15">
        <f t="shared" si="67"/>
        <v>-72.882095521699327</v>
      </c>
    </row>
    <row r="166" spans="1:23" x14ac:dyDescent="0.2">
      <c r="A166" s="48">
        <f t="shared" si="65"/>
        <v>156</v>
      </c>
      <c r="B166" s="196">
        <v>2212.33</v>
      </c>
      <c r="C166" s="51">
        <v>0.8</v>
      </c>
      <c r="D166" s="51">
        <v>245.04</v>
      </c>
      <c r="E166" s="14">
        <f t="shared" si="66"/>
        <v>14.159999999999854</v>
      </c>
      <c r="F166" s="47">
        <f t="shared" si="63"/>
        <v>2212.2026322028082</v>
      </c>
      <c r="G166" s="47">
        <f t="shared" si="48"/>
        <v>1.7138992286601449</v>
      </c>
      <c r="H166" s="49">
        <f t="shared" si="49"/>
        <v>1.7138992286601509</v>
      </c>
      <c r="I166" s="50" t="str">
        <f t="shared" si="50"/>
        <v>N</v>
      </c>
      <c r="J166" s="49">
        <f t="shared" si="51"/>
        <v>6.0074955067856211</v>
      </c>
      <c r="K166" s="50" t="str">
        <f t="shared" si="52"/>
        <v>W</v>
      </c>
      <c r="L166" s="47">
        <f t="shared" si="53"/>
        <v>6.2471955972301112</v>
      </c>
      <c r="M166" s="47">
        <f t="shared" si="54"/>
        <v>285.92310206251398</v>
      </c>
      <c r="N166" s="47">
        <f t="shared" si="55"/>
        <v>0.29543127653982554</v>
      </c>
      <c r="O166" s="47">
        <f t="shared" si="56"/>
        <v>0.28248587570621786</v>
      </c>
      <c r="P166" s="47">
        <f t="shared" si="57"/>
        <v>6.3559322033899361</v>
      </c>
      <c r="S166" s="15">
        <f t="shared" si="58"/>
        <v>4.1833068758038862E-2</v>
      </c>
      <c r="T166" s="15">
        <f t="shared" si="59"/>
        <v>1</v>
      </c>
      <c r="U166" s="15">
        <f t="shared" si="60"/>
        <v>1.7138992286601509</v>
      </c>
      <c r="V166" s="15">
        <f t="shared" si="61"/>
        <v>-6.0074955067856211</v>
      </c>
      <c r="W166" s="15">
        <f t="shared" si="67"/>
        <v>-74.076897937486009</v>
      </c>
    </row>
    <row r="167" spans="1:23" x14ac:dyDescent="0.2">
      <c r="A167" s="48">
        <f t="shared" si="65"/>
        <v>157</v>
      </c>
      <c r="B167" s="196">
        <v>2226.5</v>
      </c>
      <c r="C167" s="51">
        <v>0.84</v>
      </c>
      <c r="D167" s="51">
        <v>245.86</v>
      </c>
      <c r="E167" s="14">
        <f t="shared" si="66"/>
        <v>14.170000000000073</v>
      </c>
      <c r="F167" s="47">
        <f t="shared" si="63"/>
        <v>2226.371180181005</v>
      </c>
      <c r="G167" s="47">
        <f t="shared" si="48"/>
        <v>1.6296769945068839</v>
      </c>
      <c r="H167" s="49">
        <f t="shared" si="49"/>
        <v>1.6296769945068841</v>
      </c>
      <c r="I167" s="50" t="str">
        <f t="shared" si="50"/>
        <v>N</v>
      </c>
      <c r="J167" s="49">
        <f t="shared" si="51"/>
        <v>6.1919629423646443</v>
      </c>
      <c r="K167" s="50" t="str">
        <f t="shared" si="52"/>
        <v>W</v>
      </c>
      <c r="L167" s="47">
        <f t="shared" si="53"/>
        <v>6.4028315756422964</v>
      </c>
      <c r="M167" s="47">
        <f t="shared" si="54"/>
        <v>284.74540665054423</v>
      </c>
      <c r="N167" s="47">
        <f t="shared" si="55"/>
        <v>0.29417710143990639</v>
      </c>
      <c r="O167" s="47">
        <f t="shared" si="56"/>
        <v>0.28228652081862893</v>
      </c>
      <c r="P167" s="47">
        <f t="shared" si="57"/>
        <v>5.786873676782057</v>
      </c>
      <c r="S167" s="15">
        <f t="shared" si="58"/>
        <v>4.1684895274034954E-2</v>
      </c>
      <c r="T167" s="15">
        <f t="shared" si="59"/>
        <v>1</v>
      </c>
      <c r="U167" s="15">
        <f t="shared" si="60"/>
        <v>1.6296769945068841</v>
      </c>
      <c r="V167" s="15">
        <f t="shared" si="61"/>
        <v>-6.1919629423646443</v>
      </c>
      <c r="W167" s="15">
        <f t="shared" si="67"/>
        <v>-75.254593349455774</v>
      </c>
    </row>
    <row r="168" spans="1:23" x14ac:dyDescent="0.2">
      <c r="A168" s="48">
        <f t="shared" si="65"/>
        <v>158</v>
      </c>
      <c r="B168" s="196">
        <v>2240.67</v>
      </c>
      <c r="C168" s="51">
        <v>0.87</v>
      </c>
      <c r="D168" s="51">
        <v>246.62</v>
      </c>
      <c r="E168" s="14">
        <f t="shared" si="66"/>
        <v>14.170000000000073</v>
      </c>
      <c r="F168" s="47">
        <f t="shared" si="63"/>
        <v>2240.5396020160424</v>
      </c>
      <c r="G168" s="47">
        <f t="shared" si="48"/>
        <v>1.5445088757586649</v>
      </c>
      <c r="H168" s="49">
        <f t="shared" si="49"/>
        <v>1.5445088757586634</v>
      </c>
      <c r="I168" s="50" t="str">
        <f t="shared" si="50"/>
        <v>N</v>
      </c>
      <c r="J168" s="49">
        <f t="shared" si="51"/>
        <v>6.3854916693489017</v>
      </c>
      <c r="K168" s="50" t="str">
        <f t="shared" si="52"/>
        <v>W</v>
      </c>
      <c r="L168" s="47">
        <f t="shared" si="53"/>
        <v>6.569627959528721</v>
      </c>
      <c r="M168" s="47">
        <f t="shared" si="54"/>
        <v>283.59742187492913</v>
      </c>
      <c r="N168" s="47">
        <f t="shared" si="55"/>
        <v>0.22633265353183477</v>
      </c>
      <c r="O168" s="47">
        <f t="shared" si="56"/>
        <v>0.21171489061397228</v>
      </c>
      <c r="P168" s="47">
        <f t="shared" si="57"/>
        <v>5.3634438955538961</v>
      </c>
      <c r="S168" s="15">
        <f t="shared" si="58"/>
        <v>3.2071337005461151E-2</v>
      </c>
      <c r="T168" s="15">
        <f t="shared" si="59"/>
        <v>1</v>
      </c>
      <c r="U168" s="15">
        <f t="shared" si="60"/>
        <v>1.5445088757586634</v>
      </c>
      <c r="V168" s="15">
        <f t="shared" si="61"/>
        <v>-6.3854916693489017</v>
      </c>
      <c r="W168" s="15">
        <f t="shared" si="67"/>
        <v>-76.402578125070875</v>
      </c>
    </row>
    <row r="169" spans="1:23" x14ac:dyDescent="0.2">
      <c r="A169" s="48">
        <f t="shared" si="65"/>
        <v>159</v>
      </c>
      <c r="B169" s="196">
        <v>2254.83</v>
      </c>
      <c r="C169" s="51">
        <v>0.91</v>
      </c>
      <c r="D169" s="51">
        <v>247.32</v>
      </c>
      <c r="E169" s="14">
        <f t="shared" si="66"/>
        <v>14.159999999999854</v>
      </c>
      <c r="F169" s="47">
        <f t="shared" si="63"/>
        <v>2254.6978928726148</v>
      </c>
      <c r="G169" s="47">
        <f t="shared" si="48"/>
        <v>1.4584931003080055</v>
      </c>
      <c r="H169" s="49">
        <f t="shared" si="49"/>
        <v>1.4584931003080079</v>
      </c>
      <c r="I169" s="50" t="str">
        <f t="shared" si="50"/>
        <v>N</v>
      </c>
      <c r="J169" s="49">
        <f t="shared" si="51"/>
        <v>6.5879146715814434</v>
      </c>
      <c r="K169" s="50" t="str">
        <f t="shared" si="52"/>
        <v>W</v>
      </c>
      <c r="L169" s="47">
        <f t="shared" si="53"/>
        <v>6.7474307587172841</v>
      </c>
      <c r="M169" s="47">
        <f t="shared" si="54"/>
        <v>282.48331660582687</v>
      </c>
      <c r="N169" s="47">
        <f t="shared" si="55"/>
        <v>0.29273090238976052</v>
      </c>
      <c r="O169" s="47">
        <f t="shared" si="56"/>
        <v>0.28248587570621786</v>
      </c>
      <c r="P169" s="47">
        <f t="shared" si="57"/>
        <v>4.9435028248587276</v>
      </c>
      <c r="S169" s="15">
        <f t="shared" si="58"/>
        <v>4.1450695778389661E-2</v>
      </c>
      <c r="T169" s="15">
        <f t="shared" si="59"/>
        <v>1</v>
      </c>
      <c r="U169" s="15">
        <f t="shared" si="60"/>
        <v>1.4584931003080079</v>
      </c>
      <c r="V169" s="15">
        <f t="shared" si="61"/>
        <v>-6.5879146715814434</v>
      </c>
      <c r="W169" s="15">
        <f t="shared" si="67"/>
        <v>-77.5166833941731</v>
      </c>
    </row>
    <row r="170" spans="1:23" x14ac:dyDescent="0.2">
      <c r="A170" s="48">
        <f t="shared" si="65"/>
        <v>160</v>
      </c>
      <c r="B170" s="196">
        <v>2269</v>
      </c>
      <c r="C170" s="51">
        <v>0.94</v>
      </c>
      <c r="D170" s="51">
        <v>247.97</v>
      </c>
      <c r="E170" s="14">
        <f t="shared" si="66"/>
        <v>14.170000000000073</v>
      </c>
      <c r="F170" s="47">
        <f t="shared" si="63"/>
        <v>2268.8660458049753</v>
      </c>
      <c r="G170" s="47">
        <f t="shared" si="48"/>
        <v>1.3715084441293683</v>
      </c>
      <c r="H170" s="49">
        <f t="shared" si="49"/>
        <v>1.3715084441293748</v>
      </c>
      <c r="I170" s="50" t="str">
        <f t="shared" si="50"/>
        <v>N</v>
      </c>
      <c r="J170" s="49">
        <f t="shared" si="51"/>
        <v>6.7994819416136547</v>
      </c>
      <c r="K170" s="50" t="str">
        <f t="shared" si="52"/>
        <v>W</v>
      </c>
      <c r="L170" s="47">
        <f t="shared" si="53"/>
        <v>6.936424877892672</v>
      </c>
      <c r="M170" s="47">
        <f t="shared" si="54"/>
        <v>281.40398697530702</v>
      </c>
      <c r="N170" s="47">
        <f t="shared" si="55"/>
        <v>0.22428902859605204</v>
      </c>
      <c r="O170" s="47">
        <f t="shared" si="56"/>
        <v>0.2117148906139715</v>
      </c>
      <c r="P170" s="47">
        <f t="shared" si="57"/>
        <v>4.5871559633027692</v>
      </c>
      <c r="S170" s="15">
        <f t="shared" si="58"/>
        <v>3.1781755352060737E-2</v>
      </c>
      <c r="T170" s="15">
        <f t="shared" si="59"/>
        <v>1</v>
      </c>
      <c r="U170" s="15">
        <f t="shared" si="60"/>
        <v>1.3715084441293748</v>
      </c>
      <c r="V170" s="15">
        <f t="shared" si="61"/>
        <v>-6.7994819416136547</v>
      </c>
      <c r="W170" s="15">
        <f t="shared" si="67"/>
        <v>-78.596013024692951</v>
      </c>
    </row>
    <row r="171" spans="1:23" x14ac:dyDescent="0.2">
      <c r="A171" s="48">
        <f t="shared" si="65"/>
        <v>161</v>
      </c>
      <c r="B171" s="196">
        <v>2283.17</v>
      </c>
      <c r="C171" s="51">
        <v>0.95</v>
      </c>
      <c r="D171" s="51">
        <v>247.79</v>
      </c>
      <c r="E171" s="14">
        <f t="shared" si="66"/>
        <v>14.170000000000073</v>
      </c>
      <c r="F171" s="47">
        <f t="shared" si="63"/>
        <v>2283.0341184552867</v>
      </c>
      <c r="G171" s="47">
        <f t="shared" si="48"/>
        <v>1.2835074394305888</v>
      </c>
      <c r="H171" s="49">
        <f t="shared" si="49"/>
        <v>1.2835074394305872</v>
      </c>
      <c r="I171" s="50" t="str">
        <f t="shared" si="50"/>
        <v>N</v>
      </c>
      <c r="J171" s="49">
        <f t="shared" si="51"/>
        <v>7.0159802899328945</v>
      </c>
      <c r="K171" s="50" t="str">
        <f t="shared" si="52"/>
        <v>W</v>
      </c>
      <c r="L171" s="47">
        <f t="shared" si="53"/>
        <v>7.132416895821537</v>
      </c>
      <c r="M171" s="47">
        <f t="shared" si="54"/>
        <v>280.36708444424602</v>
      </c>
      <c r="N171" s="47">
        <f t="shared" si="55"/>
        <v>7.3615631675341006E-2</v>
      </c>
      <c r="O171" s="47">
        <f t="shared" si="56"/>
        <v>7.0571630204657426E-2</v>
      </c>
      <c r="P171" s="47">
        <f t="shared" si="57"/>
        <v>-1.2702893436838807</v>
      </c>
      <c r="S171" s="15">
        <f t="shared" si="58"/>
        <v>1.0431335008395874E-2</v>
      </c>
      <c r="T171" s="15">
        <f t="shared" si="59"/>
        <v>1</v>
      </c>
      <c r="U171" s="15">
        <f t="shared" si="60"/>
        <v>1.2835074394305872</v>
      </c>
      <c r="V171" s="15">
        <f t="shared" si="61"/>
        <v>-7.0159802899328945</v>
      </c>
      <c r="W171" s="15">
        <f t="shared" si="67"/>
        <v>-79.632915555753996</v>
      </c>
    </row>
    <row r="172" spans="1:23" x14ac:dyDescent="0.2">
      <c r="A172" s="48">
        <f t="shared" si="65"/>
        <v>162</v>
      </c>
      <c r="B172" s="196">
        <v>2297.33</v>
      </c>
      <c r="C172" s="51">
        <v>0.96</v>
      </c>
      <c r="D172" s="51">
        <v>247.63</v>
      </c>
      <c r="E172" s="14">
        <f t="shared" ref="E172:E187" si="68">IF($B172="","",B172-B171)</f>
        <v>14.159999999999854</v>
      </c>
      <c r="F172" s="47">
        <f t="shared" si="63"/>
        <v>2297.1921514905025</v>
      </c>
      <c r="G172" s="47">
        <f t="shared" si="48"/>
        <v>1.1939899390263267</v>
      </c>
      <c r="H172" s="49">
        <f t="shared" si="49"/>
        <v>1.193989939026324</v>
      </c>
      <c r="I172" s="50" t="str">
        <f t="shared" si="50"/>
        <v>N</v>
      </c>
      <c r="J172" s="49">
        <f t="shared" si="51"/>
        <v>7.2343505153266809</v>
      </c>
      <c r="K172" s="50" t="str">
        <f t="shared" si="52"/>
        <v>W</v>
      </c>
      <c r="L172" s="47">
        <f t="shared" si="53"/>
        <v>7.3322192652091012</v>
      </c>
      <c r="M172" s="47">
        <f t="shared" si="54"/>
        <v>279.37186851842478</v>
      </c>
      <c r="N172" s="47">
        <f t="shared" si="55"/>
        <v>7.3089399326134438E-2</v>
      </c>
      <c r="O172" s="47">
        <f t="shared" si="56"/>
        <v>7.0621468926554465E-2</v>
      </c>
      <c r="P172" s="47">
        <f t="shared" si="57"/>
        <v>-1.1299435028248463</v>
      </c>
      <c r="S172" s="15">
        <f t="shared" si="58"/>
        <v>1.0349458944580531E-2</v>
      </c>
      <c r="T172" s="15">
        <f t="shared" si="59"/>
        <v>1</v>
      </c>
      <c r="U172" s="15">
        <f t="shared" si="60"/>
        <v>1.193989939026324</v>
      </c>
      <c r="V172" s="15">
        <f t="shared" si="61"/>
        <v>-7.2343505153266809</v>
      </c>
      <c r="W172" s="15">
        <f t="shared" ref="W172:W187" si="69">DEGREES(ATAN(V172/U172))</f>
        <v>-80.628131481575238</v>
      </c>
    </row>
    <row r="173" spans="1:23" x14ac:dyDescent="0.2">
      <c r="A173" s="48">
        <f t="shared" si="65"/>
        <v>163</v>
      </c>
      <c r="B173" s="196">
        <v>2311.5</v>
      </c>
      <c r="C173" s="51">
        <v>0.97</v>
      </c>
      <c r="D173" s="51">
        <v>247.46</v>
      </c>
      <c r="E173" s="14">
        <f t="shared" si="68"/>
        <v>14.170000000000073</v>
      </c>
      <c r="F173" s="47">
        <f t="shared" si="63"/>
        <v>2311.3601417008413</v>
      </c>
      <c r="G173" s="47">
        <f t="shared" si="48"/>
        <v>1.1028357007786951</v>
      </c>
      <c r="H173" s="49">
        <f t="shared" si="49"/>
        <v>1.1028357007786957</v>
      </c>
      <c r="I173" s="50" t="str">
        <f t="shared" si="50"/>
        <v>N</v>
      </c>
      <c r="J173" s="49">
        <f t="shared" si="51"/>
        <v>7.4549013035083638</v>
      </c>
      <c r="K173" s="50" t="str">
        <f t="shared" si="52"/>
        <v>W</v>
      </c>
      <c r="L173" s="47">
        <f t="shared" si="53"/>
        <v>7.5360334412715249</v>
      </c>
      <c r="M173" s="47">
        <f t="shared" si="54"/>
        <v>278.41497991018571</v>
      </c>
      <c r="N173" s="47">
        <f t="shared" si="55"/>
        <v>7.3407042764472824E-2</v>
      </c>
      <c r="O173" s="47">
        <f t="shared" si="56"/>
        <v>7.0571630204657426E-2</v>
      </c>
      <c r="P173" s="47">
        <f t="shared" si="57"/>
        <v>-1.1997177134790871</v>
      </c>
      <c r="S173" s="15">
        <f t="shared" si="58"/>
        <v>1.0401777959725854E-2</v>
      </c>
      <c r="T173" s="15">
        <f t="shared" si="59"/>
        <v>1</v>
      </c>
      <c r="U173" s="15">
        <f t="shared" si="60"/>
        <v>1.1028357007786957</v>
      </c>
      <c r="V173" s="15">
        <f t="shared" si="61"/>
        <v>-7.4549013035083638</v>
      </c>
      <c r="W173" s="15">
        <f t="shared" si="69"/>
        <v>-81.585020089814307</v>
      </c>
    </row>
    <row r="174" spans="1:23" x14ac:dyDescent="0.2">
      <c r="A174" s="48">
        <f t="shared" si="65"/>
        <v>164</v>
      </c>
      <c r="B174" s="196">
        <v>2325.67</v>
      </c>
      <c r="C174" s="51">
        <v>0.98</v>
      </c>
      <c r="D174" s="51">
        <v>247.3</v>
      </c>
      <c r="E174" s="14">
        <f t="shared" si="68"/>
        <v>14.170000000000073</v>
      </c>
      <c r="F174" s="47">
        <f t="shared" si="63"/>
        <v>2325.5280900438202</v>
      </c>
      <c r="G174" s="47">
        <f t="shared" si="48"/>
        <v>1.0100957162020667</v>
      </c>
      <c r="H174" s="49">
        <f t="shared" si="49"/>
        <v>1.0100957162020718</v>
      </c>
      <c r="I174" s="50" t="str">
        <f t="shared" si="50"/>
        <v>N</v>
      </c>
      <c r="J174" s="49">
        <f t="shared" si="51"/>
        <v>7.6774713003720434</v>
      </c>
      <c r="K174" s="50" t="str">
        <f t="shared" si="52"/>
        <v>W</v>
      </c>
      <c r="L174" s="47">
        <f t="shared" si="53"/>
        <v>7.7436334445740762</v>
      </c>
      <c r="M174" s="47">
        <f t="shared" si="54"/>
        <v>277.49513963625805</v>
      </c>
      <c r="N174" s="47">
        <f t="shared" si="55"/>
        <v>7.3140355244646821E-2</v>
      </c>
      <c r="O174" s="47">
        <f t="shared" si="56"/>
        <v>7.0571630204657426E-2</v>
      </c>
      <c r="P174" s="47">
        <f t="shared" si="57"/>
        <v>-1.1291460832744937</v>
      </c>
      <c r="S174" s="15">
        <f t="shared" si="58"/>
        <v>1.0363988338166508E-2</v>
      </c>
      <c r="T174" s="15">
        <f t="shared" si="59"/>
        <v>1</v>
      </c>
      <c r="U174" s="15">
        <f t="shared" si="60"/>
        <v>1.0100957162020718</v>
      </c>
      <c r="V174" s="15">
        <f t="shared" si="61"/>
        <v>-7.6774713003720434</v>
      </c>
      <c r="W174" s="15">
        <f t="shared" si="69"/>
        <v>-82.50486036374194</v>
      </c>
    </row>
    <row r="175" spans="1:23" x14ac:dyDescent="0.2">
      <c r="A175" s="48">
        <f t="shared" si="65"/>
        <v>165</v>
      </c>
      <c r="B175" s="196">
        <v>2339.83</v>
      </c>
      <c r="C175" s="51">
        <v>0.99</v>
      </c>
      <c r="D175" s="51">
        <v>247.14</v>
      </c>
      <c r="E175" s="14">
        <f t="shared" si="68"/>
        <v>14.159999999999854</v>
      </c>
      <c r="F175" s="47">
        <f t="shared" si="63"/>
        <v>2339.685997565598</v>
      </c>
      <c r="G175" s="47">
        <f t="shared" si="48"/>
        <v>0.91584368340255851</v>
      </c>
      <c r="H175" s="49">
        <f t="shared" si="49"/>
        <v>0.91584368340256406</v>
      </c>
      <c r="I175" s="50" t="str">
        <f t="shared" si="50"/>
        <v>N</v>
      </c>
      <c r="J175" s="49">
        <f t="shared" si="51"/>
        <v>7.9019028414799566</v>
      </c>
      <c r="K175" s="50" t="str">
        <f t="shared" si="52"/>
        <v>W</v>
      </c>
      <c r="L175" s="47">
        <f t="shared" si="53"/>
        <v>7.9547996938085994</v>
      </c>
      <c r="M175" s="47">
        <f t="shared" si="54"/>
        <v>276.61117837170514</v>
      </c>
      <c r="N175" s="47">
        <f t="shared" si="55"/>
        <v>7.324405426328319E-2</v>
      </c>
      <c r="O175" s="47">
        <f t="shared" si="56"/>
        <v>7.0621468926554465E-2</v>
      </c>
      <c r="P175" s="47">
        <f t="shared" si="57"/>
        <v>-1.1299435028250471</v>
      </c>
      <c r="S175" s="15">
        <f t="shared" si="58"/>
        <v>1.0371358083680792E-2</v>
      </c>
      <c r="T175" s="15">
        <f t="shared" si="59"/>
        <v>1</v>
      </c>
      <c r="U175" s="15">
        <f t="shared" si="60"/>
        <v>0.91584368340256406</v>
      </c>
      <c r="V175" s="15">
        <f t="shared" si="61"/>
        <v>-7.9019028414799566</v>
      </c>
      <c r="W175" s="15">
        <f t="shared" si="69"/>
        <v>-83.388821628294835</v>
      </c>
    </row>
    <row r="176" spans="1:23" x14ac:dyDescent="0.2">
      <c r="A176" s="48">
        <f t="shared" si="65"/>
        <v>166</v>
      </c>
      <c r="B176" s="196">
        <v>2354</v>
      </c>
      <c r="C176" s="51">
        <v>1</v>
      </c>
      <c r="D176" s="51">
        <v>246.99</v>
      </c>
      <c r="E176" s="14">
        <f t="shared" si="68"/>
        <v>14.170000000000073</v>
      </c>
      <c r="F176" s="47">
        <f t="shared" si="63"/>
        <v>2353.8538608791182</v>
      </c>
      <c r="G176" s="47">
        <f t="shared" si="48"/>
        <v>0.8199543464219794</v>
      </c>
      <c r="H176" s="49">
        <f t="shared" si="49"/>
        <v>0.81995434642197962</v>
      </c>
      <c r="I176" s="50" t="str">
        <f t="shared" si="50"/>
        <v>N</v>
      </c>
      <c r="J176" s="49">
        <f t="shared" si="51"/>
        <v>8.1285142525430985</v>
      </c>
      <c r="K176" s="50" t="str">
        <f t="shared" si="52"/>
        <v>W</v>
      </c>
      <c r="L176" s="47">
        <f t="shared" si="53"/>
        <v>8.169765546453128</v>
      </c>
      <c r="M176" s="47">
        <f t="shared" si="54"/>
        <v>275.76015976845218</v>
      </c>
      <c r="N176" s="47">
        <f t="shared" si="55"/>
        <v>7.2926370148232722E-2</v>
      </c>
      <c r="O176" s="47">
        <f t="shared" si="56"/>
        <v>7.0571630204657426E-2</v>
      </c>
      <c r="P176" s="47">
        <f t="shared" si="57"/>
        <v>-1.0585744530697001</v>
      </c>
      <c r="S176" s="15">
        <f t="shared" si="58"/>
        <v>1.0333666650004628E-2</v>
      </c>
      <c r="T176" s="15">
        <f t="shared" si="59"/>
        <v>1</v>
      </c>
      <c r="U176" s="15">
        <f t="shared" si="60"/>
        <v>0.81995434642197962</v>
      </c>
      <c r="V176" s="15">
        <f t="shared" si="61"/>
        <v>-8.1285142525430985</v>
      </c>
      <c r="W176" s="15">
        <f t="shared" si="69"/>
        <v>-84.239840231547831</v>
      </c>
    </row>
    <row r="177" spans="1:23" x14ac:dyDescent="0.2">
      <c r="A177" s="48">
        <f t="shared" si="65"/>
        <v>167</v>
      </c>
      <c r="B177" s="196">
        <v>2369</v>
      </c>
      <c r="C177" s="51">
        <v>0.94</v>
      </c>
      <c r="D177" s="51">
        <v>246.52</v>
      </c>
      <c r="E177" s="14">
        <f t="shared" si="68"/>
        <v>15</v>
      </c>
      <c r="F177" s="47">
        <f t="shared" si="63"/>
        <v>2368.8517092656102</v>
      </c>
      <c r="G177" s="47">
        <f t="shared" si="48"/>
        <v>0.71976655738326634</v>
      </c>
      <c r="H177" s="49">
        <f t="shared" si="49"/>
        <v>0.71976655738326534</v>
      </c>
      <c r="I177" s="50" t="str">
        <f t="shared" si="50"/>
        <v>N</v>
      </c>
      <c r="J177" s="49">
        <f t="shared" si="51"/>
        <v>8.3618453777691641</v>
      </c>
      <c r="K177" s="50" t="str">
        <f t="shared" si="52"/>
        <v>W</v>
      </c>
      <c r="L177" s="47">
        <f t="shared" si="53"/>
        <v>8.3927660529081169</v>
      </c>
      <c r="M177" s="47">
        <f t="shared" si="54"/>
        <v>274.91974940110453</v>
      </c>
      <c r="N177" s="47">
        <f t="shared" si="55"/>
        <v>0.40349837927218768</v>
      </c>
      <c r="O177" s="47">
        <f t="shared" si="56"/>
        <v>-0.40000000000000036</v>
      </c>
      <c r="P177" s="47">
        <f t="shared" si="57"/>
        <v>-3.1333333333333258</v>
      </c>
      <c r="S177" s="15">
        <f t="shared" si="58"/>
        <v>6.0524756890828153E-2</v>
      </c>
      <c r="T177" s="15">
        <f t="shared" si="59"/>
        <v>1</v>
      </c>
      <c r="U177" s="15">
        <f t="shared" si="60"/>
        <v>0.71976655738326534</v>
      </c>
      <c r="V177" s="15">
        <f t="shared" si="61"/>
        <v>-8.3618453777691641</v>
      </c>
      <c r="W177" s="15">
        <f t="shared" si="69"/>
        <v>-85.080250598895489</v>
      </c>
    </row>
    <row r="178" spans="1:23" x14ac:dyDescent="0.2">
      <c r="A178" s="48">
        <f t="shared" si="65"/>
        <v>168</v>
      </c>
      <c r="B178" s="196">
        <v>2384</v>
      </c>
      <c r="C178" s="51">
        <v>0.89</v>
      </c>
      <c r="D178" s="51">
        <v>246.11</v>
      </c>
      <c r="E178" s="14">
        <f t="shared" si="68"/>
        <v>15</v>
      </c>
      <c r="F178" s="47">
        <f t="shared" si="63"/>
        <v>2383.8497951286545</v>
      </c>
      <c r="G178" s="47">
        <f t="shared" si="48"/>
        <v>0.62356498323846488</v>
      </c>
      <c r="H178" s="49">
        <f t="shared" si="49"/>
        <v>0.6235649832384641</v>
      </c>
      <c r="I178" s="50" t="str">
        <f t="shared" si="50"/>
        <v>N</v>
      </c>
      <c r="J178" s="49">
        <f t="shared" si="51"/>
        <v>8.5812129485081723</v>
      </c>
      <c r="K178" s="50" t="str">
        <f t="shared" si="52"/>
        <v>W</v>
      </c>
      <c r="L178" s="47">
        <f t="shared" si="53"/>
        <v>8.6038391986348461</v>
      </c>
      <c r="M178" s="47">
        <f t="shared" si="54"/>
        <v>274.15616710447472</v>
      </c>
      <c r="N178" s="47">
        <f t="shared" si="55"/>
        <v>0.33617688966496573</v>
      </c>
      <c r="O178" s="47">
        <f t="shared" si="56"/>
        <v>-0.33333333333333293</v>
      </c>
      <c r="P178" s="47">
        <f t="shared" si="57"/>
        <v>-2.7333333333333107</v>
      </c>
      <c r="S178" s="15">
        <f t="shared" si="58"/>
        <v>5.0426533449744855E-2</v>
      </c>
      <c r="T178" s="15">
        <f t="shared" si="59"/>
        <v>1</v>
      </c>
      <c r="U178" s="15">
        <f t="shared" si="60"/>
        <v>0.6235649832384641</v>
      </c>
      <c r="V178" s="15">
        <f t="shared" si="61"/>
        <v>-8.5812129485081723</v>
      </c>
      <c r="W178" s="15">
        <f t="shared" si="69"/>
        <v>-85.843832895525281</v>
      </c>
    </row>
    <row r="179" spans="1:23" x14ac:dyDescent="0.2">
      <c r="A179" s="48">
        <f t="shared" si="65"/>
        <v>169</v>
      </c>
      <c r="B179" s="196">
        <v>2399</v>
      </c>
      <c r="C179" s="51">
        <v>0.84</v>
      </c>
      <c r="D179" s="51">
        <v>245.64</v>
      </c>
      <c r="E179" s="14">
        <f t="shared" si="68"/>
        <v>15</v>
      </c>
      <c r="F179" s="47">
        <f t="shared" si="63"/>
        <v>2398.848084315624</v>
      </c>
      <c r="G179" s="47">
        <f t="shared" si="48"/>
        <v>0.53103451999518514</v>
      </c>
      <c r="H179" s="49">
        <f t="shared" si="49"/>
        <v>0.53103451999518647</v>
      </c>
      <c r="I179" s="50" t="str">
        <f t="shared" si="50"/>
        <v>N</v>
      </c>
      <c r="J179" s="49">
        <f t="shared" si="51"/>
        <v>8.7878911492936105</v>
      </c>
      <c r="K179" s="50" t="str">
        <f t="shared" si="52"/>
        <v>W</v>
      </c>
      <c r="L179" s="47">
        <f t="shared" si="53"/>
        <v>8.8039212009910379</v>
      </c>
      <c r="M179" s="47">
        <f t="shared" si="54"/>
        <v>273.45806328393218</v>
      </c>
      <c r="N179" s="47">
        <f t="shared" si="55"/>
        <v>0.33667009200456754</v>
      </c>
      <c r="O179" s="47">
        <f t="shared" si="56"/>
        <v>-0.33333333333333365</v>
      </c>
      <c r="P179" s="47">
        <f t="shared" si="57"/>
        <v>-3.1333333333335154</v>
      </c>
      <c r="S179" s="15">
        <f t="shared" si="58"/>
        <v>5.0500513800685133E-2</v>
      </c>
      <c r="T179" s="15">
        <f t="shared" si="59"/>
        <v>1</v>
      </c>
      <c r="U179" s="15">
        <f t="shared" si="60"/>
        <v>0.53103451999518647</v>
      </c>
      <c r="V179" s="15">
        <f t="shared" si="61"/>
        <v>-8.7878911492936105</v>
      </c>
      <c r="W179" s="15">
        <f t="shared" si="69"/>
        <v>-86.541936716067823</v>
      </c>
    </row>
    <row r="180" spans="1:23" x14ac:dyDescent="0.2">
      <c r="A180" s="48">
        <f t="shared" si="65"/>
        <v>170</v>
      </c>
      <c r="B180" s="196">
        <v>2414</v>
      </c>
      <c r="C180" s="51">
        <v>0.79</v>
      </c>
      <c r="D180" s="51">
        <v>245.12</v>
      </c>
      <c r="E180" s="14">
        <f t="shared" si="68"/>
        <v>15</v>
      </c>
      <c r="F180" s="47">
        <f t="shared" si="63"/>
        <v>2413.8465654046686</v>
      </c>
      <c r="G180" s="47">
        <f t="shared" si="48"/>
        <v>0.44217734881529031</v>
      </c>
      <c r="H180" s="49">
        <f t="shared" si="49"/>
        <v>0.44217734881529497</v>
      </c>
      <c r="I180" s="50" t="str">
        <f t="shared" si="50"/>
        <v>N</v>
      </c>
      <c r="J180" s="49">
        <f t="shared" si="51"/>
        <v>8.9818644757184458</v>
      </c>
      <c r="K180" s="50" t="str">
        <f t="shared" si="52"/>
        <v>W</v>
      </c>
      <c r="L180" s="47">
        <f t="shared" si="53"/>
        <v>8.9927420883720615</v>
      </c>
      <c r="M180" s="47">
        <f t="shared" si="54"/>
        <v>272.818396836212</v>
      </c>
      <c r="N180" s="47">
        <f t="shared" si="55"/>
        <v>0.33695734726725884</v>
      </c>
      <c r="O180" s="47">
        <f t="shared" si="56"/>
        <v>-0.33333333333333293</v>
      </c>
      <c r="P180" s="47">
        <f t="shared" si="57"/>
        <v>-3.4666666666665455</v>
      </c>
      <c r="S180" s="15">
        <f t="shared" si="58"/>
        <v>5.0543602090088832E-2</v>
      </c>
      <c r="T180" s="15">
        <f t="shared" si="59"/>
        <v>1</v>
      </c>
      <c r="U180" s="15">
        <f t="shared" si="60"/>
        <v>0.44217734881529497</v>
      </c>
      <c r="V180" s="15">
        <f t="shared" si="61"/>
        <v>-8.9818644757184458</v>
      </c>
      <c r="W180" s="15">
        <f t="shared" si="69"/>
        <v>-87.181603163787997</v>
      </c>
    </row>
    <row r="181" spans="1:23" x14ac:dyDescent="0.2">
      <c r="A181" s="48">
        <f t="shared" si="65"/>
        <v>171</v>
      </c>
      <c r="B181" s="196">
        <v>2429</v>
      </c>
      <c r="C181" s="51">
        <v>0.74</v>
      </c>
      <c r="D181" s="51">
        <v>244.52</v>
      </c>
      <c r="E181" s="14">
        <f t="shared" si="68"/>
        <v>15</v>
      </c>
      <c r="F181" s="47">
        <f t="shared" si="63"/>
        <v>2428.8452269737932</v>
      </c>
      <c r="G181" s="47">
        <f t="shared" si="48"/>
        <v>0.35700172837703315</v>
      </c>
      <c r="H181" s="49">
        <f t="shared" si="49"/>
        <v>0.35700172837703237</v>
      </c>
      <c r="I181" s="50" t="str">
        <f t="shared" si="50"/>
        <v>N</v>
      </c>
      <c r="J181" s="49">
        <f t="shared" si="51"/>
        <v>9.1631165469482241</v>
      </c>
      <c r="K181" s="50" t="str">
        <f t="shared" si="52"/>
        <v>W</v>
      </c>
      <c r="L181" s="47">
        <f t="shared" si="53"/>
        <v>9.1700684341514336</v>
      </c>
      <c r="M181" s="47">
        <f t="shared" si="54"/>
        <v>272.23115704903017</v>
      </c>
      <c r="N181" s="47">
        <f t="shared" si="55"/>
        <v>0.33757989491657098</v>
      </c>
      <c r="O181" s="47">
        <f t="shared" si="56"/>
        <v>-0.33333333333333365</v>
      </c>
      <c r="P181" s="47">
        <f t="shared" si="57"/>
        <v>-3.9999999999999623</v>
      </c>
      <c r="S181" s="15">
        <f t="shared" si="58"/>
        <v>5.0636984237485645E-2</v>
      </c>
      <c r="T181" s="15">
        <f t="shared" si="59"/>
        <v>1</v>
      </c>
      <c r="U181" s="15">
        <f t="shared" si="60"/>
        <v>0.35700172837703237</v>
      </c>
      <c r="V181" s="15">
        <f t="shared" si="61"/>
        <v>-9.1631165469482241</v>
      </c>
      <c r="W181" s="15">
        <f t="shared" si="69"/>
        <v>-87.768842950969812</v>
      </c>
    </row>
    <row r="182" spans="1:23" x14ac:dyDescent="0.2">
      <c r="A182" s="48" t="str">
        <f t="shared" si="65"/>
        <v>Proj.</v>
      </c>
      <c r="B182" s="196">
        <f>B181+86</f>
        <v>2515</v>
      </c>
      <c r="C182" s="51">
        <f>C181</f>
        <v>0.74</v>
      </c>
      <c r="D182" s="51">
        <f>D181</f>
        <v>244.52</v>
      </c>
      <c r="E182" s="14">
        <f t="shared" si="68"/>
        <v>86</v>
      </c>
      <c r="F182" s="47">
        <f t="shared" si="63"/>
        <v>2514.8380543080389</v>
      </c>
      <c r="G182" s="47">
        <f t="shared" si="48"/>
        <v>-0.12081554030195628</v>
      </c>
      <c r="H182" s="49">
        <f t="shared" si="49"/>
        <v>0.12081554030195418</v>
      </c>
      <c r="I182" s="50" t="str">
        <f t="shared" si="50"/>
        <v>S</v>
      </c>
      <c r="J182" s="49">
        <f t="shared" si="51"/>
        <v>10.165781855190325</v>
      </c>
      <c r="K182" s="50" t="str">
        <f t="shared" si="52"/>
        <v>W</v>
      </c>
      <c r="L182" s="47">
        <f t="shared" si="53"/>
        <v>10.166499747803828</v>
      </c>
      <c r="M182" s="47">
        <f t="shared" si="54"/>
        <v>269.31909864069235</v>
      </c>
      <c r="N182" s="47">
        <f t="shared" si="55"/>
        <v>0</v>
      </c>
      <c r="O182" s="47">
        <f t="shared" si="56"/>
        <v>0</v>
      </c>
      <c r="P182" s="47">
        <f t="shared" si="57"/>
        <v>0</v>
      </c>
      <c r="S182" s="15">
        <f t="shared" si="58"/>
        <v>0</v>
      </c>
      <c r="T182" s="15">
        <f t="shared" si="59"/>
        <v>1</v>
      </c>
      <c r="U182" s="15">
        <f t="shared" si="60"/>
        <v>-0.12081554030195418</v>
      </c>
      <c r="V182" s="15">
        <f t="shared" si="61"/>
        <v>-10.165781855190325</v>
      </c>
      <c r="W182" s="15">
        <f t="shared" si="69"/>
        <v>89.319098640692346</v>
      </c>
    </row>
    <row r="183" spans="1:23" x14ac:dyDescent="0.2">
      <c r="A183" s="48" t="str">
        <f t="shared" si="65"/>
        <v/>
      </c>
      <c r="B183" s="2"/>
      <c r="C183" s="51"/>
      <c r="D183" s="51"/>
      <c r="E183" s="14" t="str">
        <f t="shared" si="68"/>
        <v/>
      </c>
      <c r="F183" s="47" t="str">
        <f t="shared" si="63"/>
        <v/>
      </c>
      <c r="G183" s="47" t="str">
        <f t="shared" si="48"/>
        <v/>
      </c>
      <c r="H183" s="49" t="str">
        <f t="shared" si="49"/>
        <v/>
      </c>
      <c r="I183" s="50" t="str">
        <f t="shared" si="50"/>
        <v/>
      </c>
      <c r="J183" s="49" t="str">
        <f t="shared" si="51"/>
        <v/>
      </c>
      <c r="K183" s="50" t="str">
        <f t="shared" si="52"/>
        <v/>
      </c>
      <c r="L183" s="47" t="str">
        <f t="shared" si="53"/>
        <v/>
      </c>
      <c r="M183" s="47" t="str">
        <f t="shared" si="54"/>
        <v/>
      </c>
      <c r="N183" s="47" t="str">
        <f t="shared" si="55"/>
        <v/>
      </c>
      <c r="O183" s="47" t="str">
        <f t="shared" si="56"/>
        <v/>
      </c>
      <c r="P183" s="47" t="str">
        <f t="shared" si="57"/>
        <v/>
      </c>
      <c r="S183" s="15">
        <f t="shared" si="58"/>
        <v>0.73999999999977584</v>
      </c>
      <c r="T183" s="15">
        <f t="shared" si="59"/>
        <v>1.0000139009401359</v>
      </c>
      <c r="U183" s="15" t="e">
        <f t="shared" si="60"/>
        <v>#VALUE!</v>
      </c>
      <c r="V183" s="15" t="e">
        <f t="shared" si="61"/>
        <v>#VALUE!</v>
      </c>
      <c r="W183" s="15" t="e">
        <f t="shared" si="69"/>
        <v>#VALUE!</v>
      </c>
    </row>
    <row r="184" spans="1:23" x14ac:dyDescent="0.2">
      <c r="A184" s="48" t="str">
        <f t="shared" si="65"/>
        <v/>
      </c>
      <c r="B184" s="2"/>
      <c r="C184" s="51"/>
      <c r="D184" s="51"/>
      <c r="E184" s="14" t="str">
        <f t="shared" si="68"/>
        <v/>
      </c>
      <c r="F184" s="47" t="str">
        <f t="shared" si="63"/>
        <v/>
      </c>
      <c r="G184" s="47" t="str">
        <f t="shared" si="48"/>
        <v/>
      </c>
      <c r="H184" s="49" t="str">
        <f t="shared" si="49"/>
        <v/>
      </c>
      <c r="I184" s="50" t="str">
        <f t="shared" si="50"/>
        <v/>
      </c>
      <c r="J184" s="49" t="str">
        <f t="shared" si="51"/>
        <v/>
      </c>
      <c r="K184" s="50" t="str">
        <f t="shared" si="52"/>
        <v/>
      </c>
      <c r="L184" s="47" t="str">
        <f t="shared" si="53"/>
        <v/>
      </c>
      <c r="M184" s="47" t="str">
        <f t="shared" si="54"/>
        <v/>
      </c>
      <c r="N184" s="47" t="str">
        <f t="shared" si="55"/>
        <v/>
      </c>
      <c r="O184" s="47" t="str">
        <f t="shared" si="56"/>
        <v/>
      </c>
      <c r="P184" s="47" t="str">
        <f t="shared" si="57"/>
        <v/>
      </c>
      <c r="S184" s="15">
        <f t="shared" si="58"/>
        <v>0</v>
      </c>
      <c r="T184" s="15">
        <f t="shared" si="59"/>
        <v>1</v>
      </c>
      <c r="U184" s="15" t="e">
        <f t="shared" si="60"/>
        <v>#VALUE!</v>
      </c>
      <c r="V184" s="15" t="e">
        <f t="shared" si="61"/>
        <v>#VALUE!</v>
      </c>
      <c r="W184" s="15" t="e">
        <f t="shared" si="69"/>
        <v>#VALUE!</v>
      </c>
    </row>
    <row r="185" spans="1:23" x14ac:dyDescent="0.2">
      <c r="A185" s="48" t="str">
        <f t="shared" si="65"/>
        <v/>
      </c>
      <c r="B185" s="2"/>
      <c r="C185" s="51"/>
      <c r="D185" s="51"/>
      <c r="E185" s="14" t="str">
        <f t="shared" si="68"/>
        <v/>
      </c>
      <c r="F185" s="47" t="str">
        <f t="shared" si="63"/>
        <v/>
      </c>
      <c r="G185" s="47" t="str">
        <f t="shared" si="48"/>
        <v/>
      </c>
      <c r="H185" s="49" t="str">
        <f t="shared" si="49"/>
        <v/>
      </c>
      <c r="I185" s="50" t="str">
        <f t="shared" si="50"/>
        <v/>
      </c>
      <c r="J185" s="49" t="str">
        <f t="shared" si="51"/>
        <v/>
      </c>
      <c r="K185" s="50" t="str">
        <f t="shared" si="52"/>
        <v/>
      </c>
      <c r="L185" s="47" t="str">
        <f t="shared" si="53"/>
        <v/>
      </c>
      <c r="M185" s="47" t="str">
        <f t="shared" si="54"/>
        <v/>
      </c>
      <c r="N185" s="47" t="str">
        <f t="shared" si="55"/>
        <v/>
      </c>
      <c r="O185" s="47" t="str">
        <f t="shared" si="56"/>
        <v/>
      </c>
      <c r="P185" s="47" t="str">
        <f t="shared" si="57"/>
        <v/>
      </c>
      <c r="S185" s="15">
        <f t="shared" si="58"/>
        <v>0</v>
      </c>
      <c r="T185" s="15">
        <f t="shared" si="59"/>
        <v>1</v>
      </c>
      <c r="U185" s="15" t="e">
        <f t="shared" si="60"/>
        <v>#VALUE!</v>
      </c>
      <c r="V185" s="15" t="e">
        <f t="shared" si="61"/>
        <v>#VALUE!</v>
      </c>
      <c r="W185" s="15" t="e">
        <f t="shared" si="69"/>
        <v>#VALUE!</v>
      </c>
    </row>
    <row r="186" spans="1:23" x14ac:dyDescent="0.2">
      <c r="A186" s="48" t="str">
        <f t="shared" si="65"/>
        <v/>
      </c>
      <c r="B186" s="2"/>
      <c r="C186" s="51"/>
      <c r="D186" s="51"/>
      <c r="E186" s="14" t="str">
        <f t="shared" si="68"/>
        <v/>
      </c>
      <c r="F186" s="47" t="str">
        <f t="shared" si="63"/>
        <v/>
      </c>
      <c r="G186" s="47" t="str">
        <f t="shared" si="48"/>
        <v/>
      </c>
      <c r="H186" s="49" t="str">
        <f t="shared" si="49"/>
        <v/>
      </c>
      <c r="I186" s="50" t="str">
        <f t="shared" si="50"/>
        <v/>
      </c>
      <c r="J186" s="49" t="str">
        <f t="shared" si="51"/>
        <v/>
      </c>
      <c r="K186" s="50" t="str">
        <f t="shared" si="52"/>
        <v/>
      </c>
      <c r="L186" s="47" t="str">
        <f t="shared" si="53"/>
        <v/>
      </c>
      <c r="M186" s="47" t="str">
        <f t="shared" si="54"/>
        <v/>
      </c>
      <c r="N186" s="47" t="str">
        <f t="shared" si="55"/>
        <v/>
      </c>
      <c r="O186" s="47" t="str">
        <f t="shared" si="56"/>
        <v/>
      </c>
      <c r="P186" s="47" t="str">
        <f t="shared" si="57"/>
        <v/>
      </c>
      <c r="S186" s="15">
        <f t="shared" si="58"/>
        <v>0</v>
      </c>
      <c r="T186" s="15">
        <f t="shared" si="59"/>
        <v>1</v>
      </c>
      <c r="U186" s="15" t="e">
        <f t="shared" si="60"/>
        <v>#VALUE!</v>
      </c>
      <c r="V186" s="15" t="e">
        <f t="shared" si="61"/>
        <v>#VALUE!</v>
      </c>
      <c r="W186" s="15" t="e">
        <f t="shared" si="69"/>
        <v>#VALUE!</v>
      </c>
    </row>
    <row r="187" spans="1:23" x14ac:dyDescent="0.2">
      <c r="A187" s="48" t="str">
        <f t="shared" si="65"/>
        <v/>
      </c>
      <c r="B187" s="2"/>
      <c r="C187" s="51"/>
      <c r="D187" s="51"/>
      <c r="E187" s="14" t="str">
        <f t="shared" si="68"/>
        <v/>
      </c>
      <c r="F187" s="47" t="str">
        <f t="shared" si="63"/>
        <v/>
      </c>
      <c r="G187" s="47" t="str">
        <f t="shared" si="48"/>
        <v/>
      </c>
      <c r="H187" s="49" t="str">
        <f t="shared" si="49"/>
        <v/>
      </c>
      <c r="I187" s="50" t="str">
        <f t="shared" si="50"/>
        <v/>
      </c>
      <c r="J187" s="49" t="str">
        <f t="shared" si="51"/>
        <v/>
      </c>
      <c r="K187" s="50" t="str">
        <f t="shared" si="52"/>
        <v/>
      </c>
      <c r="L187" s="47" t="str">
        <f t="shared" si="53"/>
        <v/>
      </c>
      <c r="M187" s="47" t="str">
        <f t="shared" si="54"/>
        <v/>
      </c>
      <c r="N187" s="47" t="str">
        <f t="shared" si="55"/>
        <v/>
      </c>
      <c r="O187" s="47" t="str">
        <f t="shared" si="56"/>
        <v/>
      </c>
      <c r="P187" s="47" t="str">
        <f t="shared" si="57"/>
        <v/>
      </c>
      <c r="S187" s="15">
        <f t="shared" si="58"/>
        <v>0</v>
      </c>
      <c r="T187" s="15">
        <f t="shared" si="59"/>
        <v>1</v>
      </c>
      <c r="U187" s="15" t="e">
        <f t="shared" si="60"/>
        <v>#VALUE!</v>
      </c>
      <c r="V187" s="15" t="e">
        <f t="shared" si="61"/>
        <v>#VALUE!</v>
      </c>
      <c r="W187" s="15" t="e">
        <f t="shared" si="69"/>
        <v>#VALUE!</v>
      </c>
    </row>
    <row r="188" spans="1:23" x14ac:dyDescent="0.2">
      <c r="A188" s="48" t="str">
        <f t="shared" si="65"/>
        <v/>
      </c>
      <c r="B188" s="2"/>
      <c r="C188" s="51"/>
      <c r="D188" s="51"/>
      <c r="E188" s="14" t="str">
        <f t="shared" ref="E188:E203" si="70">IF($B188="","",B188-B187)</f>
        <v/>
      </c>
      <c r="F188" s="47" t="str">
        <f t="shared" si="63"/>
        <v/>
      </c>
      <c r="G188" s="47" t="str">
        <f t="shared" si="48"/>
        <v/>
      </c>
      <c r="H188" s="49" t="str">
        <f t="shared" si="49"/>
        <v/>
      </c>
      <c r="I188" s="50" t="str">
        <f t="shared" si="50"/>
        <v/>
      </c>
      <c r="J188" s="49" t="str">
        <f t="shared" si="51"/>
        <v/>
      </c>
      <c r="K188" s="50" t="str">
        <f t="shared" si="52"/>
        <v/>
      </c>
      <c r="L188" s="47" t="str">
        <f t="shared" si="53"/>
        <v/>
      </c>
      <c r="M188" s="47" t="str">
        <f t="shared" si="54"/>
        <v/>
      </c>
      <c r="N188" s="47" t="str">
        <f t="shared" si="55"/>
        <v/>
      </c>
      <c r="O188" s="47" t="str">
        <f t="shared" si="56"/>
        <v/>
      </c>
      <c r="P188" s="47" t="str">
        <f t="shared" si="57"/>
        <v/>
      </c>
      <c r="S188" s="15">
        <f t="shared" si="58"/>
        <v>0</v>
      </c>
      <c r="T188" s="15">
        <f t="shared" si="59"/>
        <v>1</v>
      </c>
      <c r="U188" s="15" t="e">
        <f t="shared" si="60"/>
        <v>#VALUE!</v>
      </c>
      <c r="V188" s="15" t="e">
        <f t="shared" si="61"/>
        <v>#VALUE!</v>
      </c>
      <c r="W188" s="15" t="e">
        <f t="shared" ref="W188:W203" si="71">DEGREES(ATAN(V188/U188))</f>
        <v>#VALUE!</v>
      </c>
    </row>
    <row r="189" spans="1:23" x14ac:dyDescent="0.2">
      <c r="A189" s="48" t="str">
        <f t="shared" si="65"/>
        <v/>
      </c>
      <c r="B189" s="2"/>
      <c r="C189" s="51"/>
      <c r="D189" s="51"/>
      <c r="E189" s="14" t="str">
        <f t="shared" si="70"/>
        <v/>
      </c>
      <c r="F189" s="47" t="str">
        <f t="shared" si="63"/>
        <v/>
      </c>
      <c r="G189" s="47" t="str">
        <f t="shared" si="48"/>
        <v/>
      </c>
      <c r="H189" s="49" t="str">
        <f t="shared" si="49"/>
        <v/>
      </c>
      <c r="I189" s="50" t="str">
        <f t="shared" si="50"/>
        <v/>
      </c>
      <c r="J189" s="49" t="str">
        <f t="shared" si="51"/>
        <v/>
      </c>
      <c r="K189" s="50" t="str">
        <f t="shared" si="52"/>
        <v/>
      </c>
      <c r="L189" s="47" t="str">
        <f t="shared" si="53"/>
        <v/>
      </c>
      <c r="M189" s="47" t="str">
        <f t="shared" si="54"/>
        <v/>
      </c>
      <c r="N189" s="47" t="str">
        <f t="shared" si="55"/>
        <v/>
      </c>
      <c r="O189" s="47" t="str">
        <f t="shared" si="56"/>
        <v/>
      </c>
      <c r="P189" s="47" t="str">
        <f t="shared" si="57"/>
        <v/>
      </c>
      <c r="S189" s="15">
        <f t="shared" si="58"/>
        <v>0</v>
      </c>
      <c r="T189" s="15">
        <f t="shared" si="59"/>
        <v>1</v>
      </c>
      <c r="U189" s="15" t="e">
        <f t="shared" si="60"/>
        <v>#VALUE!</v>
      </c>
      <c r="V189" s="15" t="e">
        <f t="shared" si="61"/>
        <v>#VALUE!</v>
      </c>
      <c r="W189" s="15" t="e">
        <f t="shared" si="71"/>
        <v>#VALUE!</v>
      </c>
    </row>
    <row r="190" spans="1:23" x14ac:dyDescent="0.2">
      <c r="A190" s="48" t="str">
        <f t="shared" si="65"/>
        <v/>
      </c>
      <c r="B190" s="2"/>
      <c r="C190" s="51"/>
      <c r="D190" s="51"/>
      <c r="E190" s="14" t="str">
        <f t="shared" si="70"/>
        <v/>
      </c>
      <c r="F190" s="47" t="str">
        <f t="shared" si="63"/>
        <v/>
      </c>
      <c r="G190" s="47" t="str">
        <f t="shared" si="48"/>
        <v/>
      </c>
      <c r="H190" s="49" t="str">
        <f t="shared" si="49"/>
        <v/>
      </c>
      <c r="I190" s="50" t="str">
        <f t="shared" si="50"/>
        <v/>
      </c>
      <c r="J190" s="49" t="str">
        <f t="shared" si="51"/>
        <v/>
      </c>
      <c r="K190" s="50" t="str">
        <f t="shared" si="52"/>
        <v/>
      </c>
      <c r="L190" s="47" t="str">
        <f t="shared" si="53"/>
        <v/>
      </c>
      <c r="M190" s="47" t="str">
        <f t="shared" si="54"/>
        <v/>
      </c>
      <c r="N190" s="47" t="str">
        <f t="shared" si="55"/>
        <v/>
      </c>
      <c r="O190" s="47" t="str">
        <f t="shared" si="56"/>
        <v/>
      </c>
      <c r="P190" s="47" t="str">
        <f t="shared" si="57"/>
        <v/>
      </c>
      <c r="S190" s="15">
        <f t="shared" si="58"/>
        <v>0</v>
      </c>
      <c r="T190" s="15">
        <f t="shared" si="59"/>
        <v>1</v>
      </c>
      <c r="U190" s="15" t="e">
        <f t="shared" si="60"/>
        <v>#VALUE!</v>
      </c>
      <c r="V190" s="15" t="e">
        <f t="shared" si="61"/>
        <v>#VALUE!</v>
      </c>
      <c r="W190" s="15" t="e">
        <f t="shared" si="71"/>
        <v>#VALUE!</v>
      </c>
    </row>
    <row r="191" spans="1:23" x14ac:dyDescent="0.2">
      <c r="A191" s="48" t="str">
        <f t="shared" si="65"/>
        <v/>
      </c>
      <c r="B191" s="2"/>
      <c r="C191" s="51"/>
      <c r="D191" s="51"/>
      <c r="E191" s="14" t="str">
        <f t="shared" si="70"/>
        <v/>
      </c>
      <c r="F191" s="47" t="str">
        <f t="shared" si="63"/>
        <v/>
      </c>
      <c r="G191" s="47" t="str">
        <f t="shared" si="48"/>
        <v/>
      </c>
      <c r="H191" s="49" t="str">
        <f t="shared" si="49"/>
        <v/>
      </c>
      <c r="I191" s="50" t="str">
        <f t="shared" si="50"/>
        <v/>
      </c>
      <c r="J191" s="49" t="str">
        <f t="shared" si="51"/>
        <v/>
      </c>
      <c r="K191" s="50" t="str">
        <f t="shared" si="52"/>
        <v/>
      </c>
      <c r="L191" s="47" t="str">
        <f t="shared" si="53"/>
        <v/>
      </c>
      <c r="M191" s="47" t="str">
        <f t="shared" si="54"/>
        <v/>
      </c>
      <c r="N191" s="47" t="str">
        <f t="shared" si="55"/>
        <v/>
      </c>
      <c r="O191" s="47" t="str">
        <f t="shared" si="56"/>
        <v/>
      </c>
      <c r="P191" s="47" t="str">
        <f t="shared" si="57"/>
        <v/>
      </c>
      <c r="S191" s="15">
        <f t="shared" si="58"/>
        <v>0</v>
      </c>
      <c r="T191" s="15">
        <f t="shared" si="59"/>
        <v>1</v>
      </c>
      <c r="U191" s="15" t="e">
        <f t="shared" si="60"/>
        <v>#VALUE!</v>
      </c>
      <c r="V191" s="15" t="e">
        <f t="shared" si="61"/>
        <v>#VALUE!</v>
      </c>
      <c r="W191" s="15" t="e">
        <f t="shared" si="71"/>
        <v>#VALUE!</v>
      </c>
    </row>
    <row r="192" spans="1:23" x14ac:dyDescent="0.2">
      <c r="A192" s="48" t="str">
        <f t="shared" si="65"/>
        <v/>
      </c>
      <c r="B192" s="2"/>
      <c r="C192" s="51"/>
      <c r="D192" s="51"/>
      <c r="E192" s="14" t="str">
        <f t="shared" si="70"/>
        <v/>
      </c>
      <c r="F192" s="47" t="str">
        <f t="shared" si="63"/>
        <v/>
      </c>
      <c r="G192" s="47" t="str">
        <f t="shared" si="48"/>
        <v/>
      </c>
      <c r="H192" s="49" t="str">
        <f t="shared" si="49"/>
        <v/>
      </c>
      <c r="I192" s="50" t="str">
        <f t="shared" si="50"/>
        <v/>
      </c>
      <c r="J192" s="49" t="str">
        <f t="shared" si="51"/>
        <v/>
      </c>
      <c r="K192" s="50" t="str">
        <f t="shared" si="52"/>
        <v/>
      </c>
      <c r="L192" s="47" t="str">
        <f t="shared" si="53"/>
        <v/>
      </c>
      <c r="M192" s="47" t="str">
        <f t="shared" si="54"/>
        <v/>
      </c>
      <c r="N192" s="47" t="str">
        <f t="shared" si="55"/>
        <v/>
      </c>
      <c r="O192" s="47" t="str">
        <f t="shared" si="56"/>
        <v/>
      </c>
      <c r="P192" s="47" t="str">
        <f t="shared" si="57"/>
        <v/>
      </c>
      <c r="S192" s="15">
        <f t="shared" si="58"/>
        <v>0</v>
      </c>
      <c r="T192" s="15">
        <f t="shared" si="59"/>
        <v>1</v>
      </c>
      <c r="U192" s="15" t="e">
        <f t="shared" si="60"/>
        <v>#VALUE!</v>
      </c>
      <c r="V192" s="15" t="e">
        <f t="shared" si="61"/>
        <v>#VALUE!</v>
      </c>
      <c r="W192" s="15" t="e">
        <f t="shared" si="71"/>
        <v>#VALUE!</v>
      </c>
    </row>
    <row r="193" spans="1:23" x14ac:dyDescent="0.2">
      <c r="A193" s="48" t="str">
        <f t="shared" si="65"/>
        <v/>
      </c>
      <c r="B193" s="2"/>
      <c r="C193" s="51"/>
      <c r="D193" s="51"/>
      <c r="E193" s="14" t="str">
        <f t="shared" si="70"/>
        <v/>
      </c>
      <c r="F193" s="47" t="str">
        <f t="shared" si="63"/>
        <v/>
      </c>
      <c r="G193" s="47" t="str">
        <f t="shared" si="48"/>
        <v/>
      </c>
      <c r="H193" s="49" t="str">
        <f t="shared" si="49"/>
        <v/>
      </c>
      <c r="I193" s="50" t="str">
        <f t="shared" si="50"/>
        <v/>
      </c>
      <c r="J193" s="49" t="str">
        <f t="shared" si="51"/>
        <v/>
      </c>
      <c r="K193" s="50" t="str">
        <f t="shared" si="52"/>
        <v/>
      </c>
      <c r="L193" s="47" t="str">
        <f t="shared" si="53"/>
        <v/>
      </c>
      <c r="M193" s="47" t="str">
        <f t="shared" si="54"/>
        <v/>
      </c>
      <c r="N193" s="47" t="str">
        <f t="shared" si="55"/>
        <v/>
      </c>
      <c r="O193" s="47" t="str">
        <f t="shared" si="56"/>
        <v/>
      </c>
      <c r="P193" s="47" t="str">
        <f t="shared" si="57"/>
        <v/>
      </c>
      <c r="S193" s="15">
        <f t="shared" si="58"/>
        <v>0</v>
      </c>
      <c r="T193" s="15">
        <f t="shared" si="59"/>
        <v>1</v>
      </c>
      <c r="U193" s="15" t="e">
        <f t="shared" si="60"/>
        <v>#VALUE!</v>
      </c>
      <c r="V193" s="15" t="e">
        <f t="shared" si="61"/>
        <v>#VALUE!</v>
      </c>
      <c r="W193" s="15" t="e">
        <f t="shared" si="71"/>
        <v>#VALUE!</v>
      </c>
    </row>
    <row r="194" spans="1:23" x14ac:dyDescent="0.2">
      <c r="A194" s="48" t="str">
        <f t="shared" si="65"/>
        <v/>
      </c>
      <c r="B194" s="2"/>
      <c r="C194" s="51"/>
      <c r="D194" s="51"/>
      <c r="E194" s="14" t="str">
        <f t="shared" si="70"/>
        <v/>
      </c>
      <c r="F194" s="47" t="str">
        <f t="shared" si="63"/>
        <v/>
      </c>
      <c r="G194" s="47" t="str">
        <f t="shared" si="48"/>
        <v/>
      </c>
      <c r="H194" s="49" t="str">
        <f t="shared" si="49"/>
        <v/>
      </c>
      <c r="I194" s="50" t="str">
        <f t="shared" si="50"/>
        <v/>
      </c>
      <c r="J194" s="49" t="str">
        <f t="shared" si="51"/>
        <v/>
      </c>
      <c r="K194" s="50" t="str">
        <f t="shared" si="52"/>
        <v/>
      </c>
      <c r="L194" s="47" t="str">
        <f t="shared" si="53"/>
        <v/>
      </c>
      <c r="M194" s="47" t="str">
        <f t="shared" si="54"/>
        <v/>
      </c>
      <c r="N194" s="47" t="str">
        <f t="shared" si="55"/>
        <v/>
      </c>
      <c r="O194" s="47" t="str">
        <f t="shared" si="56"/>
        <v/>
      </c>
      <c r="P194" s="47" t="str">
        <f t="shared" si="57"/>
        <v/>
      </c>
      <c r="S194" s="15">
        <f t="shared" si="58"/>
        <v>0</v>
      </c>
      <c r="T194" s="15">
        <f t="shared" si="59"/>
        <v>1</v>
      </c>
      <c r="U194" s="15" t="e">
        <f t="shared" si="60"/>
        <v>#VALUE!</v>
      </c>
      <c r="V194" s="15" t="e">
        <f t="shared" si="61"/>
        <v>#VALUE!</v>
      </c>
      <c r="W194" s="15" t="e">
        <f t="shared" si="71"/>
        <v>#VALUE!</v>
      </c>
    </row>
    <row r="195" spans="1:23" x14ac:dyDescent="0.2">
      <c r="A195" s="48" t="str">
        <f t="shared" si="65"/>
        <v/>
      </c>
      <c r="B195" s="2"/>
      <c r="C195" s="51"/>
      <c r="D195" s="51"/>
      <c r="E195" s="14" t="str">
        <f t="shared" si="70"/>
        <v/>
      </c>
      <c r="F195" s="47" t="str">
        <f t="shared" si="63"/>
        <v/>
      </c>
      <c r="G195" s="47" t="str">
        <f t="shared" si="48"/>
        <v/>
      </c>
      <c r="H195" s="49" t="str">
        <f t="shared" si="49"/>
        <v/>
      </c>
      <c r="I195" s="50" t="str">
        <f t="shared" si="50"/>
        <v/>
      </c>
      <c r="J195" s="49" t="str">
        <f t="shared" si="51"/>
        <v/>
      </c>
      <c r="K195" s="50" t="str">
        <f t="shared" si="52"/>
        <v/>
      </c>
      <c r="L195" s="47" t="str">
        <f t="shared" si="53"/>
        <v/>
      </c>
      <c r="M195" s="47" t="str">
        <f t="shared" si="54"/>
        <v/>
      </c>
      <c r="N195" s="47" t="str">
        <f t="shared" si="55"/>
        <v/>
      </c>
      <c r="O195" s="47" t="str">
        <f t="shared" si="56"/>
        <v/>
      </c>
      <c r="P195" s="47" t="str">
        <f t="shared" si="57"/>
        <v/>
      </c>
      <c r="S195" s="15">
        <f t="shared" si="58"/>
        <v>0</v>
      </c>
      <c r="T195" s="15">
        <f t="shared" si="59"/>
        <v>1</v>
      </c>
      <c r="U195" s="15" t="e">
        <f t="shared" si="60"/>
        <v>#VALUE!</v>
      </c>
      <c r="V195" s="15" t="e">
        <f t="shared" si="61"/>
        <v>#VALUE!</v>
      </c>
      <c r="W195" s="15" t="e">
        <f t="shared" si="71"/>
        <v>#VALUE!</v>
      </c>
    </row>
    <row r="196" spans="1:23" x14ac:dyDescent="0.2">
      <c r="A196" s="48" t="str">
        <f t="shared" si="65"/>
        <v/>
      </c>
      <c r="B196" s="2"/>
      <c r="C196" s="51"/>
      <c r="D196" s="51"/>
      <c r="E196" s="14" t="str">
        <f t="shared" si="70"/>
        <v/>
      </c>
      <c r="F196" s="47" t="str">
        <f t="shared" si="63"/>
        <v/>
      </c>
      <c r="G196" s="47" t="str">
        <f t="shared" si="48"/>
        <v/>
      </c>
      <c r="H196" s="49" t="str">
        <f t="shared" si="49"/>
        <v/>
      </c>
      <c r="I196" s="50" t="str">
        <f t="shared" si="50"/>
        <v/>
      </c>
      <c r="J196" s="49" t="str">
        <f t="shared" si="51"/>
        <v/>
      </c>
      <c r="K196" s="50" t="str">
        <f t="shared" si="52"/>
        <v/>
      </c>
      <c r="L196" s="47" t="str">
        <f t="shared" si="53"/>
        <v/>
      </c>
      <c r="M196" s="47" t="str">
        <f t="shared" si="54"/>
        <v/>
      </c>
      <c r="N196" s="47" t="str">
        <f t="shared" si="55"/>
        <v/>
      </c>
      <c r="O196" s="47" t="str">
        <f t="shared" si="56"/>
        <v/>
      </c>
      <c r="P196" s="47" t="str">
        <f t="shared" si="57"/>
        <v/>
      </c>
      <c r="S196" s="15">
        <f t="shared" si="58"/>
        <v>0</v>
      </c>
      <c r="T196" s="15">
        <f t="shared" si="59"/>
        <v>1</v>
      </c>
      <c r="U196" s="15" t="e">
        <f t="shared" si="60"/>
        <v>#VALUE!</v>
      </c>
      <c r="V196" s="15" t="e">
        <f t="shared" si="61"/>
        <v>#VALUE!</v>
      </c>
      <c r="W196" s="15" t="e">
        <f t="shared" si="71"/>
        <v>#VALUE!</v>
      </c>
    </row>
    <row r="197" spans="1:23" x14ac:dyDescent="0.2">
      <c r="A197" s="48" t="str">
        <f t="shared" si="65"/>
        <v/>
      </c>
      <c r="B197" s="2"/>
      <c r="C197" s="51"/>
      <c r="D197" s="51"/>
      <c r="E197" s="14" t="str">
        <f t="shared" si="70"/>
        <v/>
      </c>
      <c r="F197" s="47" t="str">
        <f t="shared" si="63"/>
        <v/>
      </c>
      <c r="G197" s="47" t="str">
        <f t="shared" si="48"/>
        <v/>
      </c>
      <c r="H197" s="49" t="str">
        <f t="shared" si="49"/>
        <v/>
      </c>
      <c r="I197" s="50" t="str">
        <f t="shared" si="50"/>
        <v/>
      </c>
      <c r="J197" s="49" t="str">
        <f t="shared" si="51"/>
        <v/>
      </c>
      <c r="K197" s="50" t="str">
        <f t="shared" si="52"/>
        <v/>
      </c>
      <c r="L197" s="47" t="str">
        <f t="shared" si="53"/>
        <v/>
      </c>
      <c r="M197" s="47" t="str">
        <f t="shared" si="54"/>
        <v/>
      </c>
      <c r="N197" s="47" t="str">
        <f t="shared" si="55"/>
        <v/>
      </c>
      <c r="O197" s="47" t="str">
        <f t="shared" si="56"/>
        <v/>
      </c>
      <c r="P197" s="47" t="str">
        <f t="shared" si="57"/>
        <v/>
      </c>
      <c r="S197" s="15">
        <f t="shared" si="58"/>
        <v>0</v>
      </c>
      <c r="T197" s="15">
        <f t="shared" si="59"/>
        <v>1</v>
      </c>
      <c r="U197" s="15" t="e">
        <f t="shared" si="60"/>
        <v>#VALUE!</v>
      </c>
      <c r="V197" s="15" t="e">
        <f t="shared" si="61"/>
        <v>#VALUE!</v>
      </c>
      <c r="W197" s="15" t="e">
        <f t="shared" si="71"/>
        <v>#VALUE!</v>
      </c>
    </row>
    <row r="198" spans="1:23" x14ac:dyDescent="0.2">
      <c r="A198" s="48" t="str">
        <f t="shared" si="65"/>
        <v/>
      </c>
      <c r="B198" s="2"/>
      <c r="C198" s="51"/>
      <c r="D198" s="51"/>
      <c r="E198" s="14" t="str">
        <f t="shared" si="70"/>
        <v/>
      </c>
      <c r="F198" s="47" t="str">
        <f t="shared" si="63"/>
        <v/>
      </c>
      <c r="G198" s="47" t="str">
        <f t="shared" si="48"/>
        <v/>
      </c>
      <c r="H198" s="49" t="str">
        <f t="shared" si="49"/>
        <v/>
      </c>
      <c r="I198" s="50" t="str">
        <f t="shared" si="50"/>
        <v/>
      </c>
      <c r="J198" s="49" t="str">
        <f t="shared" si="51"/>
        <v/>
      </c>
      <c r="K198" s="50" t="str">
        <f t="shared" si="52"/>
        <v/>
      </c>
      <c r="L198" s="47" t="str">
        <f t="shared" si="53"/>
        <v/>
      </c>
      <c r="M198" s="47" t="str">
        <f t="shared" si="54"/>
        <v/>
      </c>
      <c r="N198" s="47" t="str">
        <f t="shared" si="55"/>
        <v/>
      </c>
      <c r="O198" s="47" t="str">
        <f t="shared" si="56"/>
        <v/>
      </c>
      <c r="P198" s="47" t="str">
        <f t="shared" si="57"/>
        <v/>
      </c>
      <c r="S198" s="15">
        <f t="shared" si="58"/>
        <v>0</v>
      </c>
      <c r="T198" s="15">
        <f t="shared" si="59"/>
        <v>1</v>
      </c>
      <c r="U198" s="15" t="e">
        <f t="shared" si="60"/>
        <v>#VALUE!</v>
      </c>
      <c r="V198" s="15" t="e">
        <f t="shared" si="61"/>
        <v>#VALUE!</v>
      </c>
      <c r="W198" s="15" t="e">
        <f t="shared" si="71"/>
        <v>#VALUE!</v>
      </c>
    </row>
    <row r="199" spans="1:23" x14ac:dyDescent="0.2">
      <c r="A199" s="48" t="str">
        <f t="shared" si="65"/>
        <v/>
      </c>
      <c r="B199" s="2"/>
      <c r="C199" s="51"/>
      <c r="D199" s="51"/>
      <c r="E199" s="14" t="str">
        <f t="shared" si="70"/>
        <v/>
      </c>
      <c r="F199" s="47" t="str">
        <f t="shared" si="63"/>
        <v/>
      </c>
      <c r="G199" s="47" t="str">
        <f t="shared" si="48"/>
        <v/>
      </c>
      <c r="H199" s="49" t="str">
        <f t="shared" si="49"/>
        <v/>
      </c>
      <c r="I199" s="50" t="str">
        <f t="shared" si="50"/>
        <v/>
      </c>
      <c r="J199" s="49" t="str">
        <f t="shared" si="51"/>
        <v/>
      </c>
      <c r="K199" s="50" t="str">
        <f t="shared" si="52"/>
        <v/>
      </c>
      <c r="L199" s="47" t="str">
        <f t="shared" si="53"/>
        <v/>
      </c>
      <c r="M199" s="47" t="str">
        <f t="shared" si="54"/>
        <v/>
      </c>
      <c r="N199" s="47" t="str">
        <f t="shared" si="55"/>
        <v/>
      </c>
      <c r="O199" s="47" t="str">
        <f t="shared" si="56"/>
        <v/>
      </c>
      <c r="P199" s="47" t="str">
        <f t="shared" si="57"/>
        <v/>
      </c>
      <c r="S199" s="15">
        <f t="shared" si="58"/>
        <v>0</v>
      </c>
      <c r="T199" s="15">
        <f t="shared" si="59"/>
        <v>1</v>
      </c>
      <c r="U199" s="15" t="e">
        <f t="shared" si="60"/>
        <v>#VALUE!</v>
      </c>
      <c r="V199" s="15" t="e">
        <f t="shared" si="61"/>
        <v>#VALUE!</v>
      </c>
      <c r="W199" s="15" t="e">
        <f t="shared" si="71"/>
        <v>#VALUE!</v>
      </c>
    </row>
    <row r="200" spans="1:23" x14ac:dyDescent="0.2">
      <c r="A200" s="48" t="str">
        <f t="shared" si="65"/>
        <v/>
      </c>
      <c r="B200" s="2"/>
      <c r="C200" s="51"/>
      <c r="D200" s="51"/>
      <c r="E200" s="14" t="str">
        <f t="shared" si="70"/>
        <v/>
      </c>
      <c r="F200" s="47" t="str">
        <f t="shared" si="63"/>
        <v/>
      </c>
      <c r="G200" s="47" t="str">
        <f t="shared" si="48"/>
        <v/>
      </c>
      <c r="H200" s="49" t="str">
        <f t="shared" si="49"/>
        <v/>
      </c>
      <c r="I200" s="50" t="str">
        <f t="shared" si="50"/>
        <v/>
      </c>
      <c r="J200" s="49" t="str">
        <f t="shared" si="51"/>
        <v/>
      </c>
      <c r="K200" s="50" t="str">
        <f t="shared" si="52"/>
        <v/>
      </c>
      <c r="L200" s="47" t="str">
        <f t="shared" si="53"/>
        <v/>
      </c>
      <c r="M200" s="47" t="str">
        <f t="shared" si="54"/>
        <v/>
      </c>
      <c r="N200" s="47" t="str">
        <f t="shared" si="55"/>
        <v/>
      </c>
      <c r="O200" s="47" t="str">
        <f t="shared" si="56"/>
        <v/>
      </c>
      <c r="P200" s="47" t="str">
        <f t="shared" si="57"/>
        <v/>
      </c>
      <c r="S200" s="15">
        <f t="shared" si="58"/>
        <v>0</v>
      </c>
      <c r="T200" s="15">
        <f t="shared" si="59"/>
        <v>1</v>
      </c>
      <c r="U200" s="15" t="e">
        <f t="shared" si="60"/>
        <v>#VALUE!</v>
      </c>
      <c r="V200" s="15" t="e">
        <f t="shared" si="61"/>
        <v>#VALUE!</v>
      </c>
      <c r="W200" s="15" t="e">
        <f t="shared" si="71"/>
        <v>#VALUE!</v>
      </c>
    </row>
    <row r="201" spans="1:23" x14ac:dyDescent="0.2">
      <c r="A201" s="48" t="str">
        <f t="shared" si="65"/>
        <v/>
      </c>
      <c r="B201" s="2"/>
      <c r="C201" s="51"/>
      <c r="D201" s="51"/>
      <c r="E201" s="14" t="str">
        <f t="shared" si="70"/>
        <v/>
      </c>
      <c r="F201" s="47" t="str">
        <f t="shared" si="63"/>
        <v/>
      </c>
      <c r="G201" s="47" t="str">
        <f t="shared" si="48"/>
        <v/>
      </c>
      <c r="H201" s="49" t="str">
        <f t="shared" si="49"/>
        <v/>
      </c>
      <c r="I201" s="50" t="str">
        <f t="shared" si="50"/>
        <v/>
      </c>
      <c r="J201" s="49" t="str">
        <f t="shared" si="51"/>
        <v/>
      </c>
      <c r="K201" s="50" t="str">
        <f t="shared" si="52"/>
        <v/>
      </c>
      <c r="L201" s="47" t="str">
        <f t="shared" si="53"/>
        <v/>
      </c>
      <c r="M201" s="47" t="str">
        <f t="shared" si="54"/>
        <v/>
      </c>
      <c r="N201" s="47" t="str">
        <f t="shared" si="55"/>
        <v/>
      </c>
      <c r="O201" s="47" t="str">
        <f t="shared" si="56"/>
        <v/>
      </c>
      <c r="P201" s="47" t="str">
        <f t="shared" si="57"/>
        <v/>
      </c>
      <c r="S201" s="15">
        <f t="shared" si="58"/>
        <v>0</v>
      </c>
      <c r="T201" s="15">
        <f t="shared" si="59"/>
        <v>1</v>
      </c>
      <c r="U201" s="15" t="e">
        <f t="shared" si="60"/>
        <v>#VALUE!</v>
      </c>
      <c r="V201" s="15" t="e">
        <f t="shared" si="61"/>
        <v>#VALUE!</v>
      </c>
      <c r="W201" s="15" t="e">
        <f t="shared" si="71"/>
        <v>#VALUE!</v>
      </c>
    </row>
    <row r="202" spans="1:23" x14ac:dyDescent="0.2">
      <c r="A202" s="48" t="str">
        <f t="shared" si="65"/>
        <v/>
      </c>
      <c r="B202" s="2"/>
      <c r="C202" s="51"/>
      <c r="D202" s="51"/>
      <c r="E202" s="14" t="str">
        <f t="shared" si="70"/>
        <v/>
      </c>
      <c r="F202" s="47" t="str">
        <f t="shared" si="63"/>
        <v/>
      </c>
      <c r="G202" s="47" t="str">
        <f t="shared" si="48"/>
        <v/>
      </c>
      <c r="H202" s="49" t="str">
        <f t="shared" si="49"/>
        <v/>
      </c>
      <c r="I202" s="50" t="str">
        <f t="shared" si="50"/>
        <v/>
      </c>
      <c r="J202" s="49" t="str">
        <f t="shared" si="51"/>
        <v/>
      </c>
      <c r="K202" s="50" t="str">
        <f t="shared" si="52"/>
        <v/>
      </c>
      <c r="L202" s="47" t="str">
        <f t="shared" si="53"/>
        <v/>
      </c>
      <c r="M202" s="47" t="str">
        <f t="shared" si="54"/>
        <v/>
      </c>
      <c r="N202" s="47" t="str">
        <f t="shared" si="55"/>
        <v/>
      </c>
      <c r="O202" s="47" t="str">
        <f t="shared" si="56"/>
        <v/>
      </c>
      <c r="P202" s="47" t="str">
        <f t="shared" si="57"/>
        <v/>
      </c>
      <c r="S202" s="15">
        <f t="shared" si="58"/>
        <v>0</v>
      </c>
      <c r="T202" s="15">
        <f t="shared" si="59"/>
        <v>1</v>
      </c>
      <c r="U202" s="15" t="e">
        <f t="shared" si="60"/>
        <v>#VALUE!</v>
      </c>
      <c r="V202" s="15" t="e">
        <f t="shared" si="61"/>
        <v>#VALUE!</v>
      </c>
      <c r="W202" s="15" t="e">
        <f t="shared" si="71"/>
        <v>#VALUE!</v>
      </c>
    </row>
    <row r="203" spans="1:23" x14ac:dyDescent="0.2">
      <c r="A203" s="48" t="str">
        <f t="shared" si="65"/>
        <v/>
      </c>
      <c r="B203" s="2"/>
      <c r="C203" s="51"/>
      <c r="D203" s="51"/>
      <c r="E203" s="14" t="str">
        <f t="shared" si="70"/>
        <v/>
      </c>
      <c r="F203" s="47" t="str">
        <f t="shared" si="63"/>
        <v/>
      </c>
      <c r="G203" s="47" t="str">
        <f t="shared" ref="G203:G241" si="72">IF(B203="","",L203*COS(RADIANS(M203-$N$2)))</f>
        <v/>
      </c>
      <c r="H203" s="49" t="str">
        <f t="shared" ref="H203:H241" si="73">IF(B203="","",ABS(U203))</f>
        <v/>
      </c>
      <c r="I203" s="50" t="str">
        <f t="shared" ref="I203:I241" si="74">IF(B203="","",IF(U203&lt;0,"S","N"))</f>
        <v/>
      </c>
      <c r="J203" s="49" t="str">
        <f t="shared" ref="J203:J241" si="75">IF(B203="","",ABS(V203))</f>
        <v/>
      </c>
      <c r="K203" s="50" t="str">
        <f t="shared" ref="K203:K241" si="76">IF(B203="","",IF(V203&lt;0,"W","E"))</f>
        <v/>
      </c>
      <c r="L203" s="47" t="str">
        <f t="shared" ref="L203:L241" si="77">IF(B203="","",(H203^2+J203^2)^0.5)</f>
        <v/>
      </c>
      <c r="M203" s="47" t="str">
        <f t="shared" ref="M203:M241" si="78">IF(B203="","",IF(I203="S", 180+W203,IF(AND(I203="N",K203="E"),W203,360+W203)))</f>
        <v/>
      </c>
      <c r="N203" s="47" t="str">
        <f t="shared" ref="N203:N241" si="79">IF(B203="","",S203*100/E203)</f>
        <v/>
      </c>
      <c r="O203" s="47" t="str">
        <f t="shared" ref="O203:O241" si="80">IF(B203="","",(C203-C202)*(100/E203))</f>
        <v/>
      </c>
      <c r="P203" s="47" t="str">
        <f t="shared" ref="P203:P241" si="81">IF(B203="","",(D203-D202)*(100/E203))</f>
        <v/>
      </c>
      <c r="S203" s="15">
        <f t="shared" ref="S203:S241" si="82">DEGREES(ACOS(COS(RADIANS(C203-C202))+((SIN(RADIANS(C203)))*(SIN(RADIANS(C202))))*((COS(RADIANS(D203-D202)))-1)))</f>
        <v>0</v>
      </c>
      <c r="T203" s="15">
        <f t="shared" ref="T203:T241" si="83">IF($U$1=1,IF(S203&lt;0.25,1,(2/S203)*(DEGREES((TAN(RADIANS(S203/2)))))),IF($U$1=2,IF(C203=C202,E203*(SIN(RADIANS(C203))),(E203/(C203-C202))*(DEGREES(COS(RADIANS(C203))-COS(RADIANS(C202))))),E203*SIN(RADIANS((C203+C202)/2))))</f>
        <v>1</v>
      </c>
      <c r="U203" s="15" t="e">
        <f t="shared" ref="U203:U241" si="84">IF($U$1=1,U202+(T203*E203/2*((SIN(RADIANS(C203))*COS(RADIANS(D203)))+(SIN(RADIANS(C202))*COS(RADIANS(D202))))),IF($U$1=2,IF(D203=D202,U202+(-T203*(COS(RADIANS(D203)))),U202+(-T203/(D203-D202))*(DEGREES(SIN(RADIANS(D203))-SIN(RADIANS(D202))))),U202+T203*(COS(RADIANS((D203+D202)/2)))))</f>
        <v>#VALUE!</v>
      </c>
      <c r="V203" s="15" t="e">
        <f t="shared" ref="V203:V241" si="85">IF($U$1=1,V202+(T203*E203/2*((SIN(RADIANS(C203))*SIN(RADIANS(D203)))+(SIN(RADIANS(C202))*SIN(RADIANS(D202))))),IF($U$1=2,IF(D203=D202,V202-T203*(SIN(RADIANS(D203))),V202+(T203/(D203-D202))*(DEGREES(COS(RADIANS(D203))-COS(RADIANS(D202))))),V202+(T203*(SIN(RADIANS((D203+D202)/2))))))</f>
        <v>#VALUE!</v>
      </c>
      <c r="W203" s="15" t="e">
        <f t="shared" si="71"/>
        <v>#VALUE!</v>
      </c>
    </row>
    <row r="204" spans="1:23" x14ac:dyDescent="0.2">
      <c r="A204" s="48" t="str">
        <f t="shared" si="65"/>
        <v/>
      </c>
      <c r="B204" s="2"/>
      <c r="C204" s="51"/>
      <c r="D204" s="51"/>
      <c r="E204" s="14" t="str">
        <f t="shared" ref="E204:E212" si="86">IF($B204="","",B204-B203)</f>
        <v/>
      </c>
      <c r="F204" s="47" t="str">
        <f t="shared" ref="F204:F241" si="87">IF(B204="","",IF($U$1=1,F203+(T204*E204/2*(COS(RADIANS(C204))+COS(RADIANS(C203)))), IF($U$1=2,IF(C204=C203,F203+E204*(COS(RADIANS(C204))),F203+(E204/(C204-C203))*(DEGREES(SIN(RADIANS(C204))-SIN(RADIANS(C203))))),F203+(E204*(COS(RADIANS((C204+C203)/2)))))))</f>
        <v/>
      </c>
      <c r="G204" s="47" t="str">
        <f t="shared" si="72"/>
        <v/>
      </c>
      <c r="H204" s="49" t="str">
        <f t="shared" si="73"/>
        <v/>
      </c>
      <c r="I204" s="50" t="str">
        <f t="shared" si="74"/>
        <v/>
      </c>
      <c r="J204" s="49" t="str">
        <f t="shared" si="75"/>
        <v/>
      </c>
      <c r="K204" s="50" t="str">
        <f t="shared" si="76"/>
        <v/>
      </c>
      <c r="L204" s="47" t="str">
        <f t="shared" si="77"/>
        <v/>
      </c>
      <c r="M204" s="47" t="str">
        <f t="shared" si="78"/>
        <v/>
      </c>
      <c r="N204" s="47" t="str">
        <f t="shared" si="79"/>
        <v/>
      </c>
      <c r="O204" s="47" t="str">
        <f t="shared" si="80"/>
        <v/>
      </c>
      <c r="P204" s="47" t="str">
        <f t="shared" si="81"/>
        <v/>
      </c>
      <c r="S204" s="15">
        <f t="shared" si="82"/>
        <v>0</v>
      </c>
      <c r="T204" s="15">
        <f t="shared" si="83"/>
        <v>1</v>
      </c>
      <c r="U204" s="15" t="e">
        <f t="shared" si="84"/>
        <v>#VALUE!</v>
      </c>
      <c r="V204" s="15" t="e">
        <f t="shared" si="85"/>
        <v>#VALUE!</v>
      </c>
      <c r="W204" s="15" t="e">
        <f t="shared" ref="W204:W212" si="88">DEGREES(ATAN(V204/U204))</f>
        <v>#VALUE!</v>
      </c>
    </row>
    <row r="205" spans="1:23" x14ac:dyDescent="0.2">
      <c r="A205" s="48" t="str">
        <f t="shared" ref="A205:A268" si="89">IF(B205="","",IF(AND(B205&lt;&gt;"",B206=""),"Proj.",A204+1))</f>
        <v/>
      </c>
      <c r="B205" s="2"/>
      <c r="C205" s="51"/>
      <c r="D205" s="51"/>
      <c r="E205" s="14" t="str">
        <f t="shared" si="86"/>
        <v/>
      </c>
      <c r="F205" s="47" t="str">
        <f t="shared" si="87"/>
        <v/>
      </c>
      <c r="G205" s="47" t="str">
        <f t="shared" si="72"/>
        <v/>
      </c>
      <c r="H205" s="49" t="str">
        <f t="shared" si="73"/>
        <v/>
      </c>
      <c r="I205" s="50" t="str">
        <f t="shared" si="74"/>
        <v/>
      </c>
      <c r="J205" s="49" t="str">
        <f t="shared" si="75"/>
        <v/>
      </c>
      <c r="K205" s="50" t="str">
        <f t="shared" si="76"/>
        <v/>
      </c>
      <c r="L205" s="47" t="str">
        <f t="shared" si="77"/>
        <v/>
      </c>
      <c r="M205" s="47" t="str">
        <f t="shared" si="78"/>
        <v/>
      </c>
      <c r="N205" s="47" t="str">
        <f t="shared" si="79"/>
        <v/>
      </c>
      <c r="O205" s="47" t="str">
        <f t="shared" si="80"/>
        <v/>
      </c>
      <c r="P205" s="47" t="str">
        <f t="shared" si="81"/>
        <v/>
      </c>
      <c r="S205" s="15">
        <f t="shared" si="82"/>
        <v>0</v>
      </c>
      <c r="T205" s="15">
        <f t="shared" si="83"/>
        <v>1</v>
      </c>
      <c r="U205" s="15" t="e">
        <f t="shared" si="84"/>
        <v>#VALUE!</v>
      </c>
      <c r="V205" s="15" t="e">
        <f t="shared" si="85"/>
        <v>#VALUE!</v>
      </c>
      <c r="W205" s="15" t="e">
        <f t="shared" si="88"/>
        <v>#VALUE!</v>
      </c>
    </row>
    <row r="206" spans="1:23" x14ac:dyDescent="0.2">
      <c r="A206" s="48" t="str">
        <f t="shared" si="89"/>
        <v/>
      </c>
      <c r="B206" s="2"/>
      <c r="C206" s="51"/>
      <c r="D206" s="51"/>
      <c r="E206" s="14" t="str">
        <f t="shared" si="86"/>
        <v/>
      </c>
      <c r="F206" s="47" t="str">
        <f t="shared" si="87"/>
        <v/>
      </c>
      <c r="G206" s="47" t="str">
        <f t="shared" si="72"/>
        <v/>
      </c>
      <c r="H206" s="49" t="str">
        <f t="shared" si="73"/>
        <v/>
      </c>
      <c r="I206" s="50" t="str">
        <f t="shared" si="74"/>
        <v/>
      </c>
      <c r="J206" s="49" t="str">
        <f t="shared" si="75"/>
        <v/>
      </c>
      <c r="K206" s="50" t="str">
        <f t="shared" si="76"/>
        <v/>
      </c>
      <c r="L206" s="47" t="str">
        <f t="shared" si="77"/>
        <v/>
      </c>
      <c r="M206" s="47" t="str">
        <f t="shared" si="78"/>
        <v/>
      </c>
      <c r="N206" s="47" t="str">
        <f t="shared" si="79"/>
        <v/>
      </c>
      <c r="O206" s="47" t="str">
        <f t="shared" si="80"/>
        <v/>
      </c>
      <c r="P206" s="47" t="str">
        <f t="shared" si="81"/>
        <v/>
      </c>
      <c r="S206" s="15">
        <f t="shared" si="82"/>
        <v>0</v>
      </c>
      <c r="T206" s="15">
        <f t="shared" si="83"/>
        <v>1</v>
      </c>
      <c r="U206" s="15" t="e">
        <f t="shared" si="84"/>
        <v>#VALUE!</v>
      </c>
      <c r="V206" s="15" t="e">
        <f t="shared" si="85"/>
        <v>#VALUE!</v>
      </c>
      <c r="W206" s="15" t="e">
        <f t="shared" si="88"/>
        <v>#VALUE!</v>
      </c>
    </row>
    <row r="207" spans="1:23" x14ac:dyDescent="0.2">
      <c r="A207" s="48" t="str">
        <f t="shared" si="89"/>
        <v/>
      </c>
      <c r="B207" s="2"/>
      <c r="C207" s="51"/>
      <c r="D207" s="51"/>
      <c r="E207" s="14" t="str">
        <f t="shared" si="86"/>
        <v/>
      </c>
      <c r="F207" s="47" t="str">
        <f t="shared" si="87"/>
        <v/>
      </c>
      <c r="G207" s="47" t="str">
        <f t="shared" si="72"/>
        <v/>
      </c>
      <c r="H207" s="49" t="str">
        <f t="shared" si="73"/>
        <v/>
      </c>
      <c r="I207" s="50" t="str">
        <f t="shared" si="74"/>
        <v/>
      </c>
      <c r="J207" s="49" t="str">
        <f t="shared" si="75"/>
        <v/>
      </c>
      <c r="K207" s="50" t="str">
        <f t="shared" si="76"/>
        <v/>
      </c>
      <c r="L207" s="47" t="str">
        <f t="shared" si="77"/>
        <v/>
      </c>
      <c r="M207" s="47" t="str">
        <f t="shared" si="78"/>
        <v/>
      </c>
      <c r="N207" s="47" t="str">
        <f t="shared" si="79"/>
        <v/>
      </c>
      <c r="O207" s="47" t="str">
        <f t="shared" si="80"/>
        <v/>
      </c>
      <c r="P207" s="47" t="str">
        <f t="shared" si="81"/>
        <v/>
      </c>
      <c r="S207" s="15">
        <f t="shared" si="82"/>
        <v>0</v>
      </c>
      <c r="T207" s="15">
        <f t="shared" si="83"/>
        <v>1</v>
      </c>
      <c r="U207" s="15" t="e">
        <f t="shared" si="84"/>
        <v>#VALUE!</v>
      </c>
      <c r="V207" s="15" t="e">
        <f t="shared" si="85"/>
        <v>#VALUE!</v>
      </c>
      <c r="W207" s="15" t="e">
        <f t="shared" si="88"/>
        <v>#VALUE!</v>
      </c>
    </row>
    <row r="208" spans="1:23" x14ac:dyDescent="0.2">
      <c r="A208" s="48" t="str">
        <f t="shared" si="89"/>
        <v/>
      </c>
      <c r="B208" s="2"/>
      <c r="C208" s="51"/>
      <c r="D208" s="51"/>
      <c r="E208" s="14" t="str">
        <f t="shared" si="86"/>
        <v/>
      </c>
      <c r="F208" s="47" t="str">
        <f t="shared" si="87"/>
        <v/>
      </c>
      <c r="G208" s="47" t="str">
        <f t="shared" si="72"/>
        <v/>
      </c>
      <c r="H208" s="49" t="str">
        <f t="shared" si="73"/>
        <v/>
      </c>
      <c r="I208" s="50" t="str">
        <f t="shared" si="74"/>
        <v/>
      </c>
      <c r="J208" s="49" t="str">
        <f t="shared" si="75"/>
        <v/>
      </c>
      <c r="K208" s="50" t="str">
        <f t="shared" si="76"/>
        <v/>
      </c>
      <c r="L208" s="47" t="str">
        <f t="shared" si="77"/>
        <v/>
      </c>
      <c r="M208" s="47" t="str">
        <f t="shared" si="78"/>
        <v/>
      </c>
      <c r="N208" s="47" t="str">
        <f t="shared" si="79"/>
        <v/>
      </c>
      <c r="O208" s="47" t="str">
        <f t="shared" si="80"/>
        <v/>
      </c>
      <c r="P208" s="47" t="str">
        <f t="shared" si="81"/>
        <v/>
      </c>
      <c r="S208" s="15">
        <f t="shared" si="82"/>
        <v>0</v>
      </c>
      <c r="T208" s="15">
        <f t="shared" si="83"/>
        <v>1</v>
      </c>
      <c r="U208" s="15" t="e">
        <f t="shared" si="84"/>
        <v>#VALUE!</v>
      </c>
      <c r="V208" s="15" t="e">
        <f t="shared" si="85"/>
        <v>#VALUE!</v>
      </c>
      <c r="W208" s="15" t="e">
        <f t="shared" si="88"/>
        <v>#VALUE!</v>
      </c>
    </row>
    <row r="209" spans="1:23" x14ac:dyDescent="0.2">
      <c r="A209" s="48" t="str">
        <f t="shared" si="89"/>
        <v/>
      </c>
      <c r="B209" s="2"/>
      <c r="C209" s="51"/>
      <c r="D209" s="51"/>
      <c r="E209" s="14" t="str">
        <f t="shared" si="86"/>
        <v/>
      </c>
      <c r="F209" s="47" t="str">
        <f t="shared" si="87"/>
        <v/>
      </c>
      <c r="G209" s="47" t="str">
        <f t="shared" si="72"/>
        <v/>
      </c>
      <c r="H209" s="49" t="str">
        <f t="shared" si="73"/>
        <v/>
      </c>
      <c r="I209" s="50" t="str">
        <f t="shared" si="74"/>
        <v/>
      </c>
      <c r="J209" s="49" t="str">
        <f t="shared" si="75"/>
        <v/>
      </c>
      <c r="K209" s="50" t="str">
        <f t="shared" si="76"/>
        <v/>
      </c>
      <c r="L209" s="47" t="str">
        <f t="shared" si="77"/>
        <v/>
      </c>
      <c r="M209" s="47" t="str">
        <f t="shared" si="78"/>
        <v/>
      </c>
      <c r="N209" s="47" t="str">
        <f t="shared" si="79"/>
        <v/>
      </c>
      <c r="O209" s="47" t="str">
        <f t="shared" si="80"/>
        <v/>
      </c>
      <c r="P209" s="47" t="str">
        <f t="shared" si="81"/>
        <v/>
      </c>
      <c r="S209" s="15">
        <f t="shared" si="82"/>
        <v>0</v>
      </c>
      <c r="T209" s="15">
        <f t="shared" si="83"/>
        <v>1</v>
      </c>
      <c r="U209" s="15" t="e">
        <f t="shared" si="84"/>
        <v>#VALUE!</v>
      </c>
      <c r="V209" s="15" t="e">
        <f t="shared" si="85"/>
        <v>#VALUE!</v>
      </c>
      <c r="W209" s="15" t="e">
        <f t="shared" si="88"/>
        <v>#VALUE!</v>
      </c>
    </row>
    <row r="210" spans="1:23" x14ac:dyDescent="0.2">
      <c r="A210" s="48" t="str">
        <f t="shared" si="89"/>
        <v/>
      </c>
      <c r="B210" s="2"/>
      <c r="C210" s="51"/>
      <c r="D210" s="51"/>
      <c r="E210" s="14" t="str">
        <f t="shared" si="86"/>
        <v/>
      </c>
      <c r="F210" s="47" t="str">
        <f t="shared" si="87"/>
        <v/>
      </c>
      <c r="G210" s="47" t="str">
        <f t="shared" si="72"/>
        <v/>
      </c>
      <c r="H210" s="49" t="str">
        <f t="shared" si="73"/>
        <v/>
      </c>
      <c r="I210" s="50" t="str">
        <f t="shared" si="74"/>
        <v/>
      </c>
      <c r="J210" s="49" t="str">
        <f t="shared" si="75"/>
        <v/>
      </c>
      <c r="K210" s="50" t="str">
        <f t="shared" si="76"/>
        <v/>
      </c>
      <c r="L210" s="47" t="str">
        <f t="shared" si="77"/>
        <v/>
      </c>
      <c r="M210" s="47" t="str">
        <f t="shared" si="78"/>
        <v/>
      </c>
      <c r="N210" s="47" t="str">
        <f t="shared" si="79"/>
        <v/>
      </c>
      <c r="O210" s="47" t="str">
        <f t="shared" si="80"/>
        <v/>
      </c>
      <c r="P210" s="47" t="str">
        <f t="shared" si="81"/>
        <v/>
      </c>
      <c r="S210" s="15">
        <f t="shared" si="82"/>
        <v>0</v>
      </c>
      <c r="T210" s="15">
        <f t="shared" si="83"/>
        <v>1</v>
      </c>
      <c r="U210" s="15" t="e">
        <f t="shared" si="84"/>
        <v>#VALUE!</v>
      </c>
      <c r="V210" s="15" t="e">
        <f t="shared" si="85"/>
        <v>#VALUE!</v>
      </c>
      <c r="W210" s="15" t="e">
        <f t="shared" si="88"/>
        <v>#VALUE!</v>
      </c>
    </row>
    <row r="211" spans="1:23" x14ac:dyDescent="0.2">
      <c r="A211" s="48" t="str">
        <f t="shared" si="89"/>
        <v/>
      </c>
      <c r="B211" s="2"/>
      <c r="C211" s="51"/>
      <c r="D211" s="51"/>
      <c r="E211" s="14" t="str">
        <f t="shared" si="86"/>
        <v/>
      </c>
      <c r="F211" s="47" t="str">
        <f t="shared" si="87"/>
        <v/>
      </c>
      <c r="G211" s="47" t="str">
        <f t="shared" si="72"/>
        <v/>
      </c>
      <c r="H211" s="49" t="str">
        <f t="shared" si="73"/>
        <v/>
      </c>
      <c r="I211" s="50" t="str">
        <f t="shared" si="74"/>
        <v/>
      </c>
      <c r="J211" s="49" t="str">
        <f t="shared" si="75"/>
        <v/>
      </c>
      <c r="K211" s="50" t="str">
        <f t="shared" si="76"/>
        <v/>
      </c>
      <c r="L211" s="47" t="str">
        <f t="shared" si="77"/>
        <v/>
      </c>
      <c r="M211" s="47" t="str">
        <f t="shared" si="78"/>
        <v/>
      </c>
      <c r="N211" s="47" t="str">
        <f t="shared" si="79"/>
        <v/>
      </c>
      <c r="O211" s="47" t="str">
        <f t="shared" si="80"/>
        <v/>
      </c>
      <c r="P211" s="47" t="str">
        <f t="shared" si="81"/>
        <v/>
      </c>
      <c r="S211" s="15">
        <f t="shared" si="82"/>
        <v>0</v>
      </c>
      <c r="T211" s="15">
        <f t="shared" si="83"/>
        <v>1</v>
      </c>
      <c r="U211" s="15" t="e">
        <f t="shared" si="84"/>
        <v>#VALUE!</v>
      </c>
      <c r="V211" s="15" t="e">
        <f t="shared" si="85"/>
        <v>#VALUE!</v>
      </c>
      <c r="W211" s="15" t="e">
        <f t="shared" si="88"/>
        <v>#VALUE!</v>
      </c>
    </row>
    <row r="212" spans="1:23" x14ac:dyDescent="0.2">
      <c r="A212" s="48" t="str">
        <f t="shared" si="89"/>
        <v/>
      </c>
      <c r="B212" s="2"/>
      <c r="C212" s="51"/>
      <c r="D212" s="51"/>
      <c r="E212" s="14" t="str">
        <f t="shared" si="86"/>
        <v/>
      </c>
      <c r="F212" s="47" t="str">
        <f t="shared" si="87"/>
        <v/>
      </c>
      <c r="G212" s="47" t="str">
        <f t="shared" si="72"/>
        <v/>
      </c>
      <c r="H212" s="49" t="str">
        <f t="shared" si="73"/>
        <v/>
      </c>
      <c r="I212" s="50" t="str">
        <f t="shared" si="74"/>
        <v/>
      </c>
      <c r="J212" s="49" t="str">
        <f t="shared" si="75"/>
        <v/>
      </c>
      <c r="K212" s="50" t="str">
        <f t="shared" si="76"/>
        <v/>
      </c>
      <c r="L212" s="47" t="str">
        <f t="shared" si="77"/>
        <v/>
      </c>
      <c r="M212" s="47" t="str">
        <f t="shared" si="78"/>
        <v/>
      </c>
      <c r="N212" s="47" t="str">
        <f t="shared" si="79"/>
        <v/>
      </c>
      <c r="O212" s="47" t="str">
        <f t="shared" si="80"/>
        <v/>
      </c>
      <c r="P212" s="47" t="str">
        <f t="shared" si="81"/>
        <v/>
      </c>
      <c r="S212" s="15">
        <f t="shared" si="82"/>
        <v>0</v>
      </c>
      <c r="T212" s="15">
        <f t="shared" si="83"/>
        <v>1</v>
      </c>
      <c r="U212" s="15" t="e">
        <f t="shared" si="84"/>
        <v>#VALUE!</v>
      </c>
      <c r="V212" s="15" t="e">
        <f t="shared" si="85"/>
        <v>#VALUE!</v>
      </c>
      <c r="W212" s="15" t="e">
        <f t="shared" si="88"/>
        <v>#VALUE!</v>
      </c>
    </row>
    <row r="213" spans="1:23" x14ac:dyDescent="0.2">
      <c r="A213" s="48" t="str">
        <f t="shared" si="89"/>
        <v/>
      </c>
      <c r="B213" s="2"/>
      <c r="C213" s="51"/>
      <c r="D213" s="51"/>
      <c r="E213" s="14" t="str">
        <f t="shared" ref="E213:E241" si="90">IF($B213="","",B213-B212)</f>
        <v/>
      </c>
      <c r="F213" s="47" t="str">
        <f t="shared" si="87"/>
        <v/>
      </c>
      <c r="G213" s="47" t="str">
        <f t="shared" si="72"/>
        <v/>
      </c>
      <c r="H213" s="49" t="str">
        <f t="shared" si="73"/>
        <v/>
      </c>
      <c r="I213" s="50" t="str">
        <f t="shared" si="74"/>
        <v/>
      </c>
      <c r="J213" s="49" t="str">
        <f t="shared" si="75"/>
        <v/>
      </c>
      <c r="K213" s="50" t="str">
        <f t="shared" si="76"/>
        <v/>
      </c>
      <c r="L213" s="47" t="str">
        <f t="shared" si="77"/>
        <v/>
      </c>
      <c r="M213" s="47" t="str">
        <f t="shared" si="78"/>
        <v/>
      </c>
      <c r="N213" s="47" t="str">
        <f t="shared" si="79"/>
        <v/>
      </c>
      <c r="O213" s="47" t="str">
        <f t="shared" si="80"/>
        <v/>
      </c>
      <c r="P213" s="47" t="str">
        <f t="shared" si="81"/>
        <v/>
      </c>
      <c r="S213" s="15">
        <f t="shared" si="82"/>
        <v>0</v>
      </c>
      <c r="T213" s="15">
        <f t="shared" si="83"/>
        <v>1</v>
      </c>
      <c r="U213" s="15" t="e">
        <f t="shared" si="84"/>
        <v>#VALUE!</v>
      </c>
      <c r="V213" s="15" t="e">
        <f t="shared" si="85"/>
        <v>#VALUE!</v>
      </c>
      <c r="W213" s="15" t="e">
        <f t="shared" ref="W213:W241" si="91">DEGREES(ATAN(V213/U213))</f>
        <v>#VALUE!</v>
      </c>
    </row>
    <row r="214" spans="1:23" x14ac:dyDescent="0.2">
      <c r="A214" s="48" t="str">
        <f t="shared" si="89"/>
        <v/>
      </c>
      <c r="B214" s="2"/>
      <c r="C214" s="51"/>
      <c r="D214" s="51"/>
      <c r="E214" s="14" t="str">
        <f t="shared" si="90"/>
        <v/>
      </c>
      <c r="F214" s="47" t="str">
        <f t="shared" si="87"/>
        <v/>
      </c>
      <c r="G214" s="47" t="str">
        <f t="shared" si="72"/>
        <v/>
      </c>
      <c r="H214" s="49" t="str">
        <f t="shared" si="73"/>
        <v/>
      </c>
      <c r="I214" s="50" t="str">
        <f t="shared" si="74"/>
        <v/>
      </c>
      <c r="J214" s="49" t="str">
        <f t="shared" si="75"/>
        <v/>
      </c>
      <c r="K214" s="50" t="str">
        <f t="shared" si="76"/>
        <v/>
      </c>
      <c r="L214" s="47" t="str">
        <f t="shared" si="77"/>
        <v/>
      </c>
      <c r="M214" s="47" t="str">
        <f t="shared" si="78"/>
        <v/>
      </c>
      <c r="N214" s="47" t="str">
        <f t="shared" si="79"/>
        <v/>
      </c>
      <c r="O214" s="47" t="str">
        <f t="shared" si="80"/>
        <v/>
      </c>
      <c r="P214" s="47" t="str">
        <f t="shared" si="81"/>
        <v/>
      </c>
      <c r="S214" s="15">
        <f t="shared" si="82"/>
        <v>0</v>
      </c>
      <c r="T214" s="15">
        <f t="shared" si="83"/>
        <v>1</v>
      </c>
      <c r="U214" s="15" t="e">
        <f t="shared" si="84"/>
        <v>#VALUE!</v>
      </c>
      <c r="V214" s="15" t="e">
        <f t="shared" si="85"/>
        <v>#VALUE!</v>
      </c>
      <c r="W214" s="15" t="e">
        <f t="shared" si="91"/>
        <v>#VALUE!</v>
      </c>
    </row>
    <row r="215" spans="1:23" x14ac:dyDescent="0.2">
      <c r="A215" s="48" t="str">
        <f t="shared" si="89"/>
        <v/>
      </c>
      <c r="B215" s="2"/>
      <c r="C215" s="51"/>
      <c r="D215" s="51"/>
      <c r="E215" s="14" t="str">
        <f t="shared" si="90"/>
        <v/>
      </c>
      <c r="F215" s="47" t="str">
        <f t="shared" si="87"/>
        <v/>
      </c>
      <c r="G215" s="47" t="str">
        <f t="shared" si="72"/>
        <v/>
      </c>
      <c r="H215" s="49" t="str">
        <f t="shared" si="73"/>
        <v/>
      </c>
      <c r="I215" s="50" t="str">
        <f t="shared" si="74"/>
        <v/>
      </c>
      <c r="J215" s="49" t="str">
        <f t="shared" si="75"/>
        <v/>
      </c>
      <c r="K215" s="50" t="str">
        <f t="shared" si="76"/>
        <v/>
      </c>
      <c r="L215" s="47" t="str">
        <f t="shared" si="77"/>
        <v/>
      </c>
      <c r="M215" s="47" t="str">
        <f t="shared" si="78"/>
        <v/>
      </c>
      <c r="N215" s="47" t="str">
        <f t="shared" si="79"/>
        <v/>
      </c>
      <c r="O215" s="47" t="str">
        <f t="shared" si="80"/>
        <v/>
      </c>
      <c r="P215" s="47" t="str">
        <f t="shared" si="81"/>
        <v/>
      </c>
      <c r="S215" s="15">
        <f t="shared" si="82"/>
        <v>0</v>
      </c>
      <c r="T215" s="15">
        <f t="shared" si="83"/>
        <v>1</v>
      </c>
      <c r="U215" s="15" t="e">
        <f t="shared" si="84"/>
        <v>#VALUE!</v>
      </c>
      <c r="V215" s="15" t="e">
        <f t="shared" si="85"/>
        <v>#VALUE!</v>
      </c>
      <c r="W215" s="15" t="e">
        <f t="shared" si="91"/>
        <v>#VALUE!</v>
      </c>
    </row>
    <row r="216" spans="1:23" x14ac:dyDescent="0.2">
      <c r="A216" s="48" t="str">
        <f t="shared" si="89"/>
        <v/>
      </c>
      <c r="B216" s="2"/>
      <c r="C216" s="51"/>
      <c r="D216" s="51"/>
      <c r="E216" s="14" t="str">
        <f t="shared" si="90"/>
        <v/>
      </c>
      <c r="F216" s="47" t="str">
        <f t="shared" si="87"/>
        <v/>
      </c>
      <c r="G216" s="47" t="str">
        <f t="shared" si="72"/>
        <v/>
      </c>
      <c r="H216" s="49" t="str">
        <f t="shared" si="73"/>
        <v/>
      </c>
      <c r="I216" s="50" t="str">
        <f t="shared" si="74"/>
        <v/>
      </c>
      <c r="J216" s="49" t="str">
        <f t="shared" si="75"/>
        <v/>
      </c>
      <c r="K216" s="50" t="str">
        <f t="shared" si="76"/>
        <v/>
      </c>
      <c r="L216" s="47" t="str">
        <f t="shared" si="77"/>
        <v/>
      </c>
      <c r="M216" s="47" t="str">
        <f t="shared" si="78"/>
        <v/>
      </c>
      <c r="N216" s="47" t="str">
        <f t="shared" si="79"/>
        <v/>
      </c>
      <c r="O216" s="47" t="str">
        <f t="shared" si="80"/>
        <v/>
      </c>
      <c r="P216" s="47" t="str">
        <f t="shared" si="81"/>
        <v/>
      </c>
      <c r="S216" s="15">
        <f t="shared" si="82"/>
        <v>0</v>
      </c>
      <c r="T216" s="15">
        <f t="shared" si="83"/>
        <v>1</v>
      </c>
      <c r="U216" s="15" t="e">
        <f t="shared" si="84"/>
        <v>#VALUE!</v>
      </c>
      <c r="V216" s="15" t="e">
        <f t="shared" si="85"/>
        <v>#VALUE!</v>
      </c>
      <c r="W216" s="15" t="e">
        <f t="shared" si="91"/>
        <v>#VALUE!</v>
      </c>
    </row>
    <row r="217" spans="1:23" x14ac:dyDescent="0.2">
      <c r="A217" s="48" t="str">
        <f t="shared" si="89"/>
        <v/>
      </c>
      <c r="B217" s="2"/>
      <c r="C217" s="51"/>
      <c r="D217" s="51"/>
      <c r="E217" s="14" t="str">
        <f t="shared" si="90"/>
        <v/>
      </c>
      <c r="F217" s="47" t="str">
        <f t="shared" si="87"/>
        <v/>
      </c>
      <c r="G217" s="47" t="str">
        <f t="shared" si="72"/>
        <v/>
      </c>
      <c r="H217" s="49" t="str">
        <f t="shared" si="73"/>
        <v/>
      </c>
      <c r="I217" s="50" t="str">
        <f t="shared" si="74"/>
        <v/>
      </c>
      <c r="J217" s="49" t="str">
        <f t="shared" si="75"/>
        <v/>
      </c>
      <c r="K217" s="50" t="str">
        <f t="shared" si="76"/>
        <v/>
      </c>
      <c r="L217" s="47" t="str">
        <f t="shared" si="77"/>
        <v/>
      </c>
      <c r="M217" s="47" t="str">
        <f t="shared" si="78"/>
        <v/>
      </c>
      <c r="N217" s="47" t="str">
        <f t="shared" si="79"/>
        <v/>
      </c>
      <c r="O217" s="47" t="str">
        <f t="shared" si="80"/>
        <v/>
      </c>
      <c r="P217" s="47" t="str">
        <f t="shared" si="81"/>
        <v/>
      </c>
      <c r="S217" s="15">
        <f t="shared" si="82"/>
        <v>0</v>
      </c>
      <c r="T217" s="15">
        <f t="shared" si="83"/>
        <v>1</v>
      </c>
      <c r="U217" s="15" t="e">
        <f t="shared" si="84"/>
        <v>#VALUE!</v>
      </c>
      <c r="V217" s="15" t="e">
        <f t="shared" si="85"/>
        <v>#VALUE!</v>
      </c>
      <c r="W217" s="15" t="e">
        <f t="shared" si="91"/>
        <v>#VALUE!</v>
      </c>
    </row>
    <row r="218" spans="1:23" x14ac:dyDescent="0.2">
      <c r="A218" s="48" t="str">
        <f t="shared" si="89"/>
        <v/>
      </c>
      <c r="B218" s="2"/>
      <c r="C218" s="51"/>
      <c r="D218" s="51"/>
      <c r="E218" s="14" t="str">
        <f t="shared" si="90"/>
        <v/>
      </c>
      <c r="F218" s="47" t="str">
        <f t="shared" si="87"/>
        <v/>
      </c>
      <c r="G218" s="47" t="str">
        <f t="shared" si="72"/>
        <v/>
      </c>
      <c r="H218" s="49" t="str">
        <f t="shared" si="73"/>
        <v/>
      </c>
      <c r="I218" s="50" t="str">
        <f t="shared" si="74"/>
        <v/>
      </c>
      <c r="J218" s="49" t="str">
        <f t="shared" si="75"/>
        <v/>
      </c>
      <c r="K218" s="50" t="str">
        <f t="shared" si="76"/>
        <v/>
      </c>
      <c r="L218" s="47" t="str">
        <f t="shared" si="77"/>
        <v/>
      </c>
      <c r="M218" s="47" t="str">
        <f t="shared" si="78"/>
        <v/>
      </c>
      <c r="N218" s="47" t="str">
        <f t="shared" si="79"/>
        <v/>
      </c>
      <c r="O218" s="47" t="str">
        <f t="shared" si="80"/>
        <v/>
      </c>
      <c r="P218" s="47" t="str">
        <f t="shared" si="81"/>
        <v/>
      </c>
      <c r="S218" s="15">
        <f t="shared" si="82"/>
        <v>0</v>
      </c>
      <c r="T218" s="15">
        <f t="shared" si="83"/>
        <v>1</v>
      </c>
      <c r="U218" s="15" t="e">
        <f t="shared" si="84"/>
        <v>#VALUE!</v>
      </c>
      <c r="V218" s="15" t="e">
        <f t="shared" si="85"/>
        <v>#VALUE!</v>
      </c>
      <c r="W218" s="15" t="e">
        <f t="shared" si="91"/>
        <v>#VALUE!</v>
      </c>
    </row>
    <row r="219" spans="1:23" x14ac:dyDescent="0.2">
      <c r="A219" s="48" t="str">
        <f t="shared" si="89"/>
        <v/>
      </c>
      <c r="B219" s="2"/>
      <c r="C219" s="51"/>
      <c r="D219" s="51"/>
      <c r="E219" s="14" t="str">
        <f t="shared" si="90"/>
        <v/>
      </c>
      <c r="F219" s="47" t="str">
        <f t="shared" si="87"/>
        <v/>
      </c>
      <c r="G219" s="47" t="str">
        <f t="shared" si="72"/>
        <v/>
      </c>
      <c r="H219" s="49" t="str">
        <f t="shared" si="73"/>
        <v/>
      </c>
      <c r="I219" s="50" t="str">
        <f t="shared" si="74"/>
        <v/>
      </c>
      <c r="J219" s="49" t="str">
        <f t="shared" si="75"/>
        <v/>
      </c>
      <c r="K219" s="50" t="str">
        <f t="shared" si="76"/>
        <v/>
      </c>
      <c r="L219" s="47" t="str">
        <f t="shared" si="77"/>
        <v/>
      </c>
      <c r="M219" s="47" t="str">
        <f t="shared" si="78"/>
        <v/>
      </c>
      <c r="N219" s="47" t="str">
        <f t="shared" si="79"/>
        <v/>
      </c>
      <c r="O219" s="47" t="str">
        <f t="shared" si="80"/>
        <v/>
      </c>
      <c r="P219" s="47" t="str">
        <f t="shared" si="81"/>
        <v/>
      </c>
      <c r="S219" s="15">
        <f t="shared" si="82"/>
        <v>0</v>
      </c>
      <c r="T219" s="15">
        <f t="shared" si="83"/>
        <v>1</v>
      </c>
      <c r="U219" s="15" t="e">
        <f t="shared" si="84"/>
        <v>#VALUE!</v>
      </c>
      <c r="V219" s="15" t="e">
        <f t="shared" si="85"/>
        <v>#VALUE!</v>
      </c>
      <c r="W219" s="15" t="e">
        <f t="shared" si="91"/>
        <v>#VALUE!</v>
      </c>
    </row>
    <row r="220" spans="1:23" x14ac:dyDescent="0.2">
      <c r="A220" s="48" t="str">
        <f t="shared" si="89"/>
        <v/>
      </c>
      <c r="B220" s="2"/>
      <c r="C220" s="51"/>
      <c r="D220" s="51"/>
      <c r="E220" s="14" t="str">
        <f t="shared" si="90"/>
        <v/>
      </c>
      <c r="F220" s="47" t="str">
        <f t="shared" si="87"/>
        <v/>
      </c>
      <c r="G220" s="47" t="str">
        <f t="shared" si="72"/>
        <v/>
      </c>
      <c r="H220" s="49" t="str">
        <f t="shared" si="73"/>
        <v/>
      </c>
      <c r="I220" s="50" t="str">
        <f t="shared" si="74"/>
        <v/>
      </c>
      <c r="J220" s="49" t="str">
        <f t="shared" si="75"/>
        <v/>
      </c>
      <c r="K220" s="50" t="str">
        <f t="shared" si="76"/>
        <v/>
      </c>
      <c r="L220" s="47" t="str">
        <f t="shared" si="77"/>
        <v/>
      </c>
      <c r="M220" s="47" t="str">
        <f t="shared" si="78"/>
        <v/>
      </c>
      <c r="N220" s="47" t="str">
        <f t="shared" si="79"/>
        <v/>
      </c>
      <c r="O220" s="47" t="str">
        <f t="shared" si="80"/>
        <v/>
      </c>
      <c r="P220" s="47" t="str">
        <f t="shared" si="81"/>
        <v/>
      </c>
      <c r="S220" s="15">
        <f t="shared" si="82"/>
        <v>0</v>
      </c>
      <c r="T220" s="15">
        <f t="shared" si="83"/>
        <v>1</v>
      </c>
      <c r="U220" s="15" t="e">
        <f t="shared" si="84"/>
        <v>#VALUE!</v>
      </c>
      <c r="V220" s="15" t="e">
        <f t="shared" si="85"/>
        <v>#VALUE!</v>
      </c>
      <c r="W220" s="15" t="e">
        <f t="shared" si="91"/>
        <v>#VALUE!</v>
      </c>
    </row>
    <row r="221" spans="1:23" x14ac:dyDescent="0.2">
      <c r="A221" s="48" t="str">
        <f t="shared" si="89"/>
        <v/>
      </c>
      <c r="B221" s="2"/>
      <c r="C221" s="51"/>
      <c r="D221" s="51"/>
      <c r="E221" s="14" t="str">
        <f t="shared" si="90"/>
        <v/>
      </c>
      <c r="F221" s="47" t="str">
        <f t="shared" si="87"/>
        <v/>
      </c>
      <c r="G221" s="47" t="str">
        <f t="shared" si="72"/>
        <v/>
      </c>
      <c r="H221" s="49" t="str">
        <f t="shared" si="73"/>
        <v/>
      </c>
      <c r="I221" s="50" t="str">
        <f t="shared" si="74"/>
        <v/>
      </c>
      <c r="J221" s="49" t="str">
        <f t="shared" si="75"/>
        <v/>
      </c>
      <c r="K221" s="50" t="str">
        <f t="shared" si="76"/>
        <v/>
      </c>
      <c r="L221" s="47" t="str">
        <f t="shared" si="77"/>
        <v/>
      </c>
      <c r="M221" s="47" t="str">
        <f t="shared" si="78"/>
        <v/>
      </c>
      <c r="N221" s="47" t="str">
        <f t="shared" si="79"/>
        <v/>
      </c>
      <c r="O221" s="47" t="str">
        <f t="shared" si="80"/>
        <v/>
      </c>
      <c r="P221" s="47" t="str">
        <f t="shared" si="81"/>
        <v/>
      </c>
      <c r="S221" s="15">
        <f t="shared" si="82"/>
        <v>0</v>
      </c>
      <c r="T221" s="15">
        <f t="shared" si="83"/>
        <v>1</v>
      </c>
      <c r="U221" s="15" t="e">
        <f t="shared" si="84"/>
        <v>#VALUE!</v>
      </c>
      <c r="V221" s="15" t="e">
        <f t="shared" si="85"/>
        <v>#VALUE!</v>
      </c>
      <c r="W221" s="15" t="e">
        <f t="shared" si="91"/>
        <v>#VALUE!</v>
      </c>
    </row>
    <row r="222" spans="1:23" x14ac:dyDescent="0.2">
      <c r="A222" s="48" t="str">
        <f t="shared" si="89"/>
        <v/>
      </c>
      <c r="B222" s="2"/>
      <c r="C222" s="51"/>
      <c r="D222" s="51"/>
      <c r="E222" s="14" t="str">
        <f t="shared" si="90"/>
        <v/>
      </c>
      <c r="F222" s="47" t="str">
        <f t="shared" si="87"/>
        <v/>
      </c>
      <c r="G222" s="47" t="str">
        <f t="shared" si="72"/>
        <v/>
      </c>
      <c r="H222" s="49" t="str">
        <f t="shared" si="73"/>
        <v/>
      </c>
      <c r="I222" s="50" t="str">
        <f t="shared" si="74"/>
        <v/>
      </c>
      <c r="J222" s="49" t="str">
        <f t="shared" si="75"/>
        <v/>
      </c>
      <c r="K222" s="50" t="str">
        <f t="shared" si="76"/>
        <v/>
      </c>
      <c r="L222" s="47" t="str">
        <f t="shared" si="77"/>
        <v/>
      </c>
      <c r="M222" s="47" t="str">
        <f t="shared" si="78"/>
        <v/>
      </c>
      <c r="N222" s="47" t="str">
        <f t="shared" si="79"/>
        <v/>
      </c>
      <c r="O222" s="47" t="str">
        <f t="shared" si="80"/>
        <v/>
      </c>
      <c r="P222" s="47" t="str">
        <f t="shared" si="81"/>
        <v/>
      </c>
      <c r="S222" s="15">
        <f t="shared" si="82"/>
        <v>0</v>
      </c>
      <c r="T222" s="15">
        <f t="shared" si="83"/>
        <v>1</v>
      </c>
      <c r="U222" s="15" t="e">
        <f t="shared" si="84"/>
        <v>#VALUE!</v>
      </c>
      <c r="V222" s="15" t="e">
        <f t="shared" si="85"/>
        <v>#VALUE!</v>
      </c>
      <c r="W222" s="15" t="e">
        <f t="shared" si="91"/>
        <v>#VALUE!</v>
      </c>
    </row>
    <row r="223" spans="1:23" x14ac:dyDescent="0.2">
      <c r="A223" s="48" t="str">
        <f t="shared" si="89"/>
        <v/>
      </c>
      <c r="B223" s="2"/>
      <c r="C223" s="51"/>
      <c r="D223" s="51"/>
      <c r="E223" s="14" t="str">
        <f t="shared" si="90"/>
        <v/>
      </c>
      <c r="F223" s="47" t="str">
        <f t="shared" si="87"/>
        <v/>
      </c>
      <c r="G223" s="47" t="str">
        <f t="shared" si="72"/>
        <v/>
      </c>
      <c r="H223" s="49" t="str">
        <f t="shared" si="73"/>
        <v/>
      </c>
      <c r="I223" s="50" t="str">
        <f t="shared" si="74"/>
        <v/>
      </c>
      <c r="J223" s="49" t="str">
        <f t="shared" si="75"/>
        <v/>
      </c>
      <c r="K223" s="50" t="str">
        <f t="shared" si="76"/>
        <v/>
      </c>
      <c r="L223" s="47" t="str">
        <f t="shared" si="77"/>
        <v/>
      </c>
      <c r="M223" s="47" t="str">
        <f t="shared" si="78"/>
        <v/>
      </c>
      <c r="N223" s="47" t="str">
        <f t="shared" si="79"/>
        <v/>
      </c>
      <c r="O223" s="47" t="str">
        <f t="shared" si="80"/>
        <v/>
      </c>
      <c r="P223" s="47" t="str">
        <f t="shared" si="81"/>
        <v/>
      </c>
      <c r="S223" s="15">
        <f t="shared" si="82"/>
        <v>0</v>
      </c>
      <c r="T223" s="15">
        <f t="shared" si="83"/>
        <v>1</v>
      </c>
      <c r="U223" s="15" t="e">
        <f t="shared" si="84"/>
        <v>#VALUE!</v>
      </c>
      <c r="V223" s="15" t="e">
        <f t="shared" si="85"/>
        <v>#VALUE!</v>
      </c>
      <c r="W223" s="15" t="e">
        <f t="shared" si="91"/>
        <v>#VALUE!</v>
      </c>
    </row>
    <row r="224" spans="1:23" x14ac:dyDescent="0.2">
      <c r="A224" s="48" t="str">
        <f t="shared" si="89"/>
        <v/>
      </c>
      <c r="B224" s="2"/>
      <c r="C224" s="51"/>
      <c r="D224" s="51"/>
      <c r="E224" s="14" t="str">
        <f t="shared" si="90"/>
        <v/>
      </c>
      <c r="F224" s="47" t="str">
        <f t="shared" si="87"/>
        <v/>
      </c>
      <c r="G224" s="47" t="str">
        <f t="shared" si="72"/>
        <v/>
      </c>
      <c r="H224" s="49" t="str">
        <f t="shared" si="73"/>
        <v/>
      </c>
      <c r="I224" s="50" t="str">
        <f t="shared" si="74"/>
        <v/>
      </c>
      <c r="J224" s="49" t="str">
        <f t="shared" si="75"/>
        <v/>
      </c>
      <c r="K224" s="50" t="str">
        <f t="shared" si="76"/>
        <v/>
      </c>
      <c r="L224" s="47" t="str">
        <f t="shared" si="77"/>
        <v/>
      </c>
      <c r="M224" s="47" t="str">
        <f t="shared" si="78"/>
        <v/>
      </c>
      <c r="N224" s="47" t="str">
        <f t="shared" si="79"/>
        <v/>
      </c>
      <c r="O224" s="47" t="str">
        <f t="shared" si="80"/>
        <v/>
      </c>
      <c r="P224" s="47" t="str">
        <f t="shared" si="81"/>
        <v/>
      </c>
      <c r="S224" s="15">
        <f t="shared" si="82"/>
        <v>0</v>
      </c>
      <c r="T224" s="15">
        <f t="shared" si="83"/>
        <v>1</v>
      </c>
      <c r="U224" s="15" t="e">
        <f t="shared" si="84"/>
        <v>#VALUE!</v>
      </c>
      <c r="V224" s="15" t="e">
        <f t="shared" si="85"/>
        <v>#VALUE!</v>
      </c>
      <c r="W224" s="15" t="e">
        <f t="shared" si="91"/>
        <v>#VALUE!</v>
      </c>
    </row>
    <row r="225" spans="1:23" x14ac:dyDescent="0.2">
      <c r="A225" s="48" t="str">
        <f t="shared" si="89"/>
        <v/>
      </c>
      <c r="B225" s="2"/>
      <c r="C225" s="51"/>
      <c r="D225" s="51"/>
      <c r="E225" s="14" t="str">
        <f t="shared" si="90"/>
        <v/>
      </c>
      <c r="F225" s="47" t="str">
        <f t="shared" si="87"/>
        <v/>
      </c>
      <c r="G225" s="47" t="str">
        <f t="shared" si="72"/>
        <v/>
      </c>
      <c r="H225" s="49" t="str">
        <f t="shared" si="73"/>
        <v/>
      </c>
      <c r="I225" s="50" t="str">
        <f t="shared" si="74"/>
        <v/>
      </c>
      <c r="J225" s="49" t="str">
        <f t="shared" si="75"/>
        <v/>
      </c>
      <c r="K225" s="50" t="str">
        <f t="shared" si="76"/>
        <v/>
      </c>
      <c r="L225" s="47" t="str">
        <f t="shared" si="77"/>
        <v/>
      </c>
      <c r="M225" s="47" t="str">
        <f t="shared" si="78"/>
        <v/>
      </c>
      <c r="N225" s="47" t="str">
        <f t="shared" si="79"/>
        <v/>
      </c>
      <c r="O225" s="47" t="str">
        <f t="shared" si="80"/>
        <v/>
      </c>
      <c r="P225" s="47" t="str">
        <f t="shared" si="81"/>
        <v/>
      </c>
      <c r="S225" s="15">
        <f t="shared" si="82"/>
        <v>0</v>
      </c>
      <c r="T225" s="15">
        <f t="shared" si="83"/>
        <v>1</v>
      </c>
      <c r="U225" s="15" t="e">
        <f t="shared" si="84"/>
        <v>#VALUE!</v>
      </c>
      <c r="V225" s="15" t="e">
        <f t="shared" si="85"/>
        <v>#VALUE!</v>
      </c>
      <c r="W225" s="15" t="e">
        <f t="shared" si="91"/>
        <v>#VALUE!</v>
      </c>
    </row>
    <row r="226" spans="1:23" x14ac:dyDescent="0.2">
      <c r="A226" s="48" t="str">
        <f t="shared" si="89"/>
        <v/>
      </c>
      <c r="B226" s="2"/>
      <c r="C226" s="51"/>
      <c r="D226" s="51"/>
      <c r="E226" s="14" t="str">
        <f t="shared" si="90"/>
        <v/>
      </c>
      <c r="F226" s="47" t="str">
        <f t="shared" si="87"/>
        <v/>
      </c>
      <c r="G226" s="47" t="str">
        <f t="shared" si="72"/>
        <v/>
      </c>
      <c r="H226" s="49" t="str">
        <f t="shared" si="73"/>
        <v/>
      </c>
      <c r="I226" s="50" t="str">
        <f t="shared" si="74"/>
        <v/>
      </c>
      <c r="J226" s="49" t="str">
        <f t="shared" si="75"/>
        <v/>
      </c>
      <c r="K226" s="50" t="str">
        <f t="shared" si="76"/>
        <v/>
      </c>
      <c r="L226" s="47" t="str">
        <f t="shared" si="77"/>
        <v/>
      </c>
      <c r="M226" s="47" t="str">
        <f t="shared" si="78"/>
        <v/>
      </c>
      <c r="N226" s="47" t="str">
        <f t="shared" si="79"/>
        <v/>
      </c>
      <c r="O226" s="47" t="str">
        <f t="shared" si="80"/>
        <v/>
      </c>
      <c r="P226" s="47" t="str">
        <f t="shared" si="81"/>
        <v/>
      </c>
      <c r="S226" s="15">
        <f t="shared" si="82"/>
        <v>0</v>
      </c>
      <c r="T226" s="15">
        <f t="shared" si="83"/>
        <v>1</v>
      </c>
      <c r="U226" s="15" t="e">
        <f t="shared" si="84"/>
        <v>#VALUE!</v>
      </c>
      <c r="V226" s="15" t="e">
        <f t="shared" si="85"/>
        <v>#VALUE!</v>
      </c>
      <c r="W226" s="15" t="e">
        <f t="shared" si="91"/>
        <v>#VALUE!</v>
      </c>
    </row>
    <row r="227" spans="1:23" x14ac:dyDescent="0.2">
      <c r="A227" s="48" t="str">
        <f t="shared" si="89"/>
        <v/>
      </c>
      <c r="B227" s="2"/>
      <c r="C227" s="51"/>
      <c r="D227" s="51"/>
      <c r="E227" s="14" t="str">
        <f t="shared" si="90"/>
        <v/>
      </c>
      <c r="F227" s="47" t="str">
        <f t="shared" si="87"/>
        <v/>
      </c>
      <c r="G227" s="47" t="str">
        <f t="shared" si="72"/>
        <v/>
      </c>
      <c r="H227" s="49" t="str">
        <f t="shared" si="73"/>
        <v/>
      </c>
      <c r="I227" s="50" t="str">
        <f t="shared" si="74"/>
        <v/>
      </c>
      <c r="J227" s="49" t="str">
        <f t="shared" si="75"/>
        <v/>
      </c>
      <c r="K227" s="50" t="str">
        <f t="shared" si="76"/>
        <v/>
      </c>
      <c r="L227" s="47" t="str">
        <f t="shared" si="77"/>
        <v/>
      </c>
      <c r="M227" s="47" t="str">
        <f t="shared" si="78"/>
        <v/>
      </c>
      <c r="N227" s="47" t="str">
        <f t="shared" si="79"/>
        <v/>
      </c>
      <c r="O227" s="47" t="str">
        <f t="shared" si="80"/>
        <v/>
      </c>
      <c r="P227" s="47" t="str">
        <f t="shared" si="81"/>
        <v/>
      </c>
      <c r="S227" s="15">
        <f t="shared" si="82"/>
        <v>0</v>
      </c>
      <c r="T227" s="15">
        <f t="shared" si="83"/>
        <v>1</v>
      </c>
      <c r="U227" s="15" t="e">
        <f t="shared" si="84"/>
        <v>#VALUE!</v>
      </c>
      <c r="V227" s="15" t="e">
        <f t="shared" si="85"/>
        <v>#VALUE!</v>
      </c>
      <c r="W227" s="15" t="e">
        <f t="shared" si="91"/>
        <v>#VALUE!</v>
      </c>
    </row>
    <row r="228" spans="1:23" x14ac:dyDescent="0.2">
      <c r="A228" s="48" t="str">
        <f t="shared" si="89"/>
        <v/>
      </c>
      <c r="B228" s="2"/>
      <c r="C228" s="51"/>
      <c r="D228" s="51"/>
      <c r="E228" s="14" t="str">
        <f t="shared" si="90"/>
        <v/>
      </c>
      <c r="F228" s="47" t="str">
        <f t="shared" si="87"/>
        <v/>
      </c>
      <c r="G228" s="47" t="str">
        <f t="shared" si="72"/>
        <v/>
      </c>
      <c r="H228" s="49" t="str">
        <f t="shared" si="73"/>
        <v/>
      </c>
      <c r="I228" s="50" t="str">
        <f t="shared" si="74"/>
        <v/>
      </c>
      <c r="J228" s="49" t="str">
        <f t="shared" si="75"/>
        <v/>
      </c>
      <c r="K228" s="50" t="str">
        <f t="shared" si="76"/>
        <v/>
      </c>
      <c r="L228" s="47" t="str">
        <f t="shared" si="77"/>
        <v/>
      </c>
      <c r="M228" s="47" t="str">
        <f t="shared" si="78"/>
        <v/>
      </c>
      <c r="N228" s="47" t="str">
        <f t="shared" si="79"/>
        <v/>
      </c>
      <c r="O228" s="47" t="str">
        <f t="shared" si="80"/>
        <v/>
      </c>
      <c r="P228" s="47" t="str">
        <f t="shared" si="81"/>
        <v/>
      </c>
      <c r="S228" s="15">
        <f t="shared" si="82"/>
        <v>0</v>
      </c>
      <c r="T228" s="15">
        <f t="shared" si="83"/>
        <v>1</v>
      </c>
      <c r="U228" s="15" t="e">
        <f t="shared" si="84"/>
        <v>#VALUE!</v>
      </c>
      <c r="V228" s="15" t="e">
        <f t="shared" si="85"/>
        <v>#VALUE!</v>
      </c>
      <c r="W228" s="15" t="e">
        <f t="shared" si="91"/>
        <v>#VALUE!</v>
      </c>
    </row>
    <row r="229" spans="1:23" x14ac:dyDescent="0.2">
      <c r="A229" s="48" t="str">
        <f t="shared" si="89"/>
        <v/>
      </c>
      <c r="B229" s="2"/>
      <c r="C229" s="51"/>
      <c r="D229" s="51"/>
      <c r="E229" s="14" t="str">
        <f t="shared" si="90"/>
        <v/>
      </c>
      <c r="F229" s="47" t="str">
        <f t="shared" si="87"/>
        <v/>
      </c>
      <c r="G229" s="47" t="str">
        <f t="shared" si="72"/>
        <v/>
      </c>
      <c r="H229" s="49" t="str">
        <f t="shared" si="73"/>
        <v/>
      </c>
      <c r="I229" s="50" t="str">
        <f t="shared" si="74"/>
        <v/>
      </c>
      <c r="J229" s="49" t="str">
        <f t="shared" si="75"/>
        <v/>
      </c>
      <c r="K229" s="50" t="str">
        <f t="shared" si="76"/>
        <v/>
      </c>
      <c r="L229" s="47" t="str">
        <f t="shared" si="77"/>
        <v/>
      </c>
      <c r="M229" s="47" t="str">
        <f t="shared" si="78"/>
        <v/>
      </c>
      <c r="N229" s="47" t="str">
        <f t="shared" si="79"/>
        <v/>
      </c>
      <c r="O229" s="47" t="str">
        <f t="shared" si="80"/>
        <v/>
      </c>
      <c r="P229" s="47" t="str">
        <f t="shared" si="81"/>
        <v/>
      </c>
      <c r="S229" s="15">
        <f t="shared" si="82"/>
        <v>0</v>
      </c>
      <c r="T229" s="15">
        <f t="shared" si="83"/>
        <v>1</v>
      </c>
      <c r="U229" s="15" t="e">
        <f t="shared" si="84"/>
        <v>#VALUE!</v>
      </c>
      <c r="V229" s="15" t="e">
        <f t="shared" si="85"/>
        <v>#VALUE!</v>
      </c>
      <c r="W229" s="15" t="e">
        <f t="shared" si="91"/>
        <v>#VALUE!</v>
      </c>
    </row>
    <row r="230" spans="1:23" x14ac:dyDescent="0.2">
      <c r="A230" s="48" t="str">
        <f t="shared" si="89"/>
        <v/>
      </c>
      <c r="B230" s="2"/>
      <c r="C230" s="51"/>
      <c r="D230" s="51"/>
      <c r="E230" s="14" t="str">
        <f t="shared" si="90"/>
        <v/>
      </c>
      <c r="F230" s="47" t="str">
        <f t="shared" si="87"/>
        <v/>
      </c>
      <c r="G230" s="47" t="str">
        <f t="shared" si="72"/>
        <v/>
      </c>
      <c r="H230" s="49" t="str">
        <f t="shared" si="73"/>
        <v/>
      </c>
      <c r="I230" s="50" t="str">
        <f t="shared" si="74"/>
        <v/>
      </c>
      <c r="J230" s="49" t="str">
        <f t="shared" si="75"/>
        <v/>
      </c>
      <c r="K230" s="50" t="str">
        <f t="shared" si="76"/>
        <v/>
      </c>
      <c r="L230" s="47" t="str">
        <f t="shared" si="77"/>
        <v/>
      </c>
      <c r="M230" s="47" t="str">
        <f t="shared" si="78"/>
        <v/>
      </c>
      <c r="N230" s="47" t="str">
        <f t="shared" si="79"/>
        <v/>
      </c>
      <c r="O230" s="47" t="str">
        <f t="shared" si="80"/>
        <v/>
      </c>
      <c r="P230" s="47" t="str">
        <f t="shared" si="81"/>
        <v/>
      </c>
      <c r="S230" s="15">
        <f t="shared" si="82"/>
        <v>0</v>
      </c>
      <c r="T230" s="15">
        <f t="shared" si="83"/>
        <v>1</v>
      </c>
      <c r="U230" s="15" t="e">
        <f t="shared" si="84"/>
        <v>#VALUE!</v>
      </c>
      <c r="V230" s="15" t="e">
        <f t="shared" si="85"/>
        <v>#VALUE!</v>
      </c>
      <c r="W230" s="15" t="e">
        <f t="shared" si="91"/>
        <v>#VALUE!</v>
      </c>
    </row>
    <row r="231" spans="1:23" x14ac:dyDescent="0.2">
      <c r="A231" s="48" t="str">
        <f t="shared" si="89"/>
        <v/>
      </c>
      <c r="B231" s="2"/>
      <c r="C231" s="51"/>
      <c r="D231" s="51"/>
      <c r="E231" s="14" t="str">
        <f t="shared" si="90"/>
        <v/>
      </c>
      <c r="F231" s="47" t="str">
        <f t="shared" si="87"/>
        <v/>
      </c>
      <c r="G231" s="47" t="str">
        <f t="shared" si="72"/>
        <v/>
      </c>
      <c r="H231" s="49" t="str">
        <f t="shared" si="73"/>
        <v/>
      </c>
      <c r="I231" s="50" t="str">
        <f t="shared" si="74"/>
        <v/>
      </c>
      <c r="J231" s="49" t="str">
        <f t="shared" si="75"/>
        <v/>
      </c>
      <c r="K231" s="50" t="str">
        <f t="shared" si="76"/>
        <v/>
      </c>
      <c r="L231" s="47" t="str">
        <f t="shared" si="77"/>
        <v/>
      </c>
      <c r="M231" s="47" t="str">
        <f t="shared" si="78"/>
        <v/>
      </c>
      <c r="N231" s="47" t="str">
        <f t="shared" si="79"/>
        <v/>
      </c>
      <c r="O231" s="47" t="str">
        <f t="shared" si="80"/>
        <v/>
      </c>
      <c r="P231" s="47" t="str">
        <f t="shared" si="81"/>
        <v/>
      </c>
      <c r="S231" s="15">
        <f t="shared" si="82"/>
        <v>0</v>
      </c>
      <c r="T231" s="15">
        <f t="shared" si="83"/>
        <v>1</v>
      </c>
      <c r="U231" s="15" t="e">
        <f t="shared" si="84"/>
        <v>#VALUE!</v>
      </c>
      <c r="V231" s="15" t="e">
        <f t="shared" si="85"/>
        <v>#VALUE!</v>
      </c>
      <c r="W231" s="15" t="e">
        <f t="shared" si="91"/>
        <v>#VALUE!</v>
      </c>
    </row>
    <row r="232" spans="1:23" x14ac:dyDescent="0.2">
      <c r="A232" s="48" t="str">
        <f t="shared" si="89"/>
        <v/>
      </c>
      <c r="B232" s="2"/>
      <c r="C232" s="51"/>
      <c r="D232" s="51"/>
      <c r="E232" s="14" t="str">
        <f t="shared" si="90"/>
        <v/>
      </c>
      <c r="F232" s="47" t="str">
        <f t="shared" si="87"/>
        <v/>
      </c>
      <c r="G232" s="47" t="str">
        <f t="shared" si="72"/>
        <v/>
      </c>
      <c r="H232" s="49" t="str">
        <f t="shared" si="73"/>
        <v/>
      </c>
      <c r="I232" s="50" t="str">
        <f t="shared" si="74"/>
        <v/>
      </c>
      <c r="J232" s="49" t="str">
        <f t="shared" si="75"/>
        <v/>
      </c>
      <c r="K232" s="50" t="str">
        <f t="shared" si="76"/>
        <v/>
      </c>
      <c r="L232" s="47" t="str">
        <f t="shared" si="77"/>
        <v/>
      </c>
      <c r="M232" s="47" t="str">
        <f t="shared" si="78"/>
        <v/>
      </c>
      <c r="N232" s="47" t="str">
        <f t="shared" si="79"/>
        <v/>
      </c>
      <c r="O232" s="47" t="str">
        <f t="shared" si="80"/>
        <v/>
      </c>
      <c r="P232" s="47" t="str">
        <f t="shared" si="81"/>
        <v/>
      </c>
      <c r="S232" s="15">
        <f t="shared" si="82"/>
        <v>0</v>
      </c>
      <c r="T232" s="15">
        <f t="shared" si="83"/>
        <v>1</v>
      </c>
      <c r="U232" s="15" t="e">
        <f t="shared" si="84"/>
        <v>#VALUE!</v>
      </c>
      <c r="V232" s="15" t="e">
        <f t="shared" si="85"/>
        <v>#VALUE!</v>
      </c>
      <c r="W232" s="15" t="e">
        <f t="shared" si="91"/>
        <v>#VALUE!</v>
      </c>
    </row>
    <row r="233" spans="1:23" x14ac:dyDescent="0.2">
      <c r="A233" s="48" t="str">
        <f t="shared" si="89"/>
        <v/>
      </c>
      <c r="B233" s="2"/>
      <c r="C233" s="51"/>
      <c r="D233" s="51"/>
      <c r="E233" s="14" t="str">
        <f t="shared" si="90"/>
        <v/>
      </c>
      <c r="F233" s="47" t="str">
        <f t="shared" si="87"/>
        <v/>
      </c>
      <c r="G233" s="47" t="str">
        <f t="shared" si="72"/>
        <v/>
      </c>
      <c r="H233" s="49" t="str">
        <f t="shared" si="73"/>
        <v/>
      </c>
      <c r="I233" s="50" t="str">
        <f t="shared" si="74"/>
        <v/>
      </c>
      <c r="J233" s="49" t="str">
        <f t="shared" si="75"/>
        <v/>
      </c>
      <c r="K233" s="50" t="str">
        <f t="shared" si="76"/>
        <v/>
      </c>
      <c r="L233" s="47" t="str">
        <f t="shared" si="77"/>
        <v/>
      </c>
      <c r="M233" s="47" t="str">
        <f t="shared" si="78"/>
        <v/>
      </c>
      <c r="N233" s="47" t="str">
        <f t="shared" si="79"/>
        <v/>
      </c>
      <c r="O233" s="47" t="str">
        <f t="shared" si="80"/>
        <v/>
      </c>
      <c r="P233" s="47" t="str">
        <f t="shared" si="81"/>
        <v/>
      </c>
      <c r="S233" s="15">
        <f t="shared" si="82"/>
        <v>0</v>
      </c>
      <c r="T233" s="15">
        <f t="shared" si="83"/>
        <v>1</v>
      </c>
      <c r="U233" s="15" t="e">
        <f t="shared" si="84"/>
        <v>#VALUE!</v>
      </c>
      <c r="V233" s="15" t="e">
        <f t="shared" si="85"/>
        <v>#VALUE!</v>
      </c>
      <c r="W233" s="15" t="e">
        <f t="shared" si="91"/>
        <v>#VALUE!</v>
      </c>
    </row>
    <row r="234" spans="1:23" x14ac:dyDescent="0.2">
      <c r="A234" s="48" t="str">
        <f t="shared" si="89"/>
        <v/>
      </c>
      <c r="B234" s="2"/>
      <c r="C234" s="51"/>
      <c r="D234" s="51"/>
      <c r="E234" s="14" t="str">
        <f t="shared" si="90"/>
        <v/>
      </c>
      <c r="F234" s="47" t="str">
        <f t="shared" si="87"/>
        <v/>
      </c>
      <c r="G234" s="47" t="str">
        <f t="shared" si="72"/>
        <v/>
      </c>
      <c r="H234" s="49" t="str">
        <f t="shared" si="73"/>
        <v/>
      </c>
      <c r="I234" s="50" t="str">
        <f t="shared" si="74"/>
        <v/>
      </c>
      <c r="J234" s="49" t="str">
        <f t="shared" si="75"/>
        <v/>
      </c>
      <c r="K234" s="50" t="str">
        <f t="shared" si="76"/>
        <v/>
      </c>
      <c r="L234" s="47" t="str">
        <f t="shared" si="77"/>
        <v/>
      </c>
      <c r="M234" s="47" t="str">
        <f t="shared" si="78"/>
        <v/>
      </c>
      <c r="N234" s="47" t="str">
        <f t="shared" si="79"/>
        <v/>
      </c>
      <c r="O234" s="47" t="str">
        <f t="shared" si="80"/>
        <v/>
      </c>
      <c r="P234" s="47" t="str">
        <f t="shared" si="81"/>
        <v/>
      </c>
      <c r="S234" s="15">
        <f t="shared" si="82"/>
        <v>0</v>
      </c>
      <c r="T234" s="15">
        <f t="shared" si="83"/>
        <v>1</v>
      </c>
      <c r="U234" s="15" t="e">
        <f t="shared" si="84"/>
        <v>#VALUE!</v>
      </c>
      <c r="V234" s="15" t="e">
        <f t="shared" si="85"/>
        <v>#VALUE!</v>
      </c>
      <c r="W234" s="15" t="e">
        <f t="shared" si="91"/>
        <v>#VALUE!</v>
      </c>
    </row>
    <row r="235" spans="1:23" x14ac:dyDescent="0.2">
      <c r="A235" s="48" t="str">
        <f t="shared" si="89"/>
        <v/>
      </c>
      <c r="B235" s="2"/>
      <c r="C235" s="51"/>
      <c r="D235" s="51"/>
      <c r="E235" s="14" t="str">
        <f t="shared" si="90"/>
        <v/>
      </c>
      <c r="F235" s="47" t="str">
        <f t="shared" si="87"/>
        <v/>
      </c>
      <c r="G235" s="47" t="str">
        <f t="shared" si="72"/>
        <v/>
      </c>
      <c r="H235" s="49" t="str">
        <f t="shared" si="73"/>
        <v/>
      </c>
      <c r="I235" s="50" t="str">
        <f t="shared" si="74"/>
        <v/>
      </c>
      <c r="J235" s="49" t="str">
        <f t="shared" si="75"/>
        <v/>
      </c>
      <c r="K235" s="50" t="str">
        <f t="shared" si="76"/>
        <v/>
      </c>
      <c r="L235" s="47" t="str">
        <f t="shared" si="77"/>
        <v/>
      </c>
      <c r="M235" s="47" t="str">
        <f t="shared" si="78"/>
        <v/>
      </c>
      <c r="N235" s="47" t="str">
        <f t="shared" si="79"/>
        <v/>
      </c>
      <c r="O235" s="47" t="str">
        <f t="shared" si="80"/>
        <v/>
      </c>
      <c r="P235" s="47" t="str">
        <f t="shared" si="81"/>
        <v/>
      </c>
      <c r="S235" s="15">
        <f t="shared" si="82"/>
        <v>0</v>
      </c>
      <c r="T235" s="15">
        <f t="shared" si="83"/>
        <v>1</v>
      </c>
      <c r="U235" s="15" t="e">
        <f t="shared" si="84"/>
        <v>#VALUE!</v>
      </c>
      <c r="V235" s="15" t="e">
        <f t="shared" si="85"/>
        <v>#VALUE!</v>
      </c>
      <c r="W235" s="15" t="e">
        <f t="shared" si="91"/>
        <v>#VALUE!</v>
      </c>
    </row>
    <row r="236" spans="1:23" x14ac:dyDescent="0.2">
      <c r="A236" s="48" t="str">
        <f t="shared" si="89"/>
        <v/>
      </c>
      <c r="B236" s="2"/>
      <c r="C236" s="51"/>
      <c r="D236" s="51"/>
      <c r="E236" s="14" t="str">
        <f t="shared" si="90"/>
        <v/>
      </c>
      <c r="F236" s="47" t="str">
        <f t="shared" si="87"/>
        <v/>
      </c>
      <c r="G236" s="47" t="str">
        <f t="shared" si="72"/>
        <v/>
      </c>
      <c r="H236" s="49" t="str">
        <f t="shared" si="73"/>
        <v/>
      </c>
      <c r="I236" s="50" t="str">
        <f t="shared" si="74"/>
        <v/>
      </c>
      <c r="J236" s="49" t="str">
        <f t="shared" si="75"/>
        <v/>
      </c>
      <c r="K236" s="50" t="str">
        <f t="shared" si="76"/>
        <v/>
      </c>
      <c r="L236" s="47" t="str">
        <f t="shared" si="77"/>
        <v/>
      </c>
      <c r="M236" s="47" t="str">
        <f t="shared" si="78"/>
        <v/>
      </c>
      <c r="N236" s="47" t="str">
        <f t="shared" si="79"/>
        <v/>
      </c>
      <c r="O236" s="47" t="str">
        <f t="shared" si="80"/>
        <v/>
      </c>
      <c r="P236" s="47" t="str">
        <f t="shared" si="81"/>
        <v/>
      </c>
      <c r="S236" s="15">
        <f t="shared" si="82"/>
        <v>0</v>
      </c>
      <c r="T236" s="15">
        <f t="shared" si="83"/>
        <v>1</v>
      </c>
      <c r="U236" s="15" t="e">
        <f t="shared" si="84"/>
        <v>#VALUE!</v>
      </c>
      <c r="V236" s="15" t="e">
        <f t="shared" si="85"/>
        <v>#VALUE!</v>
      </c>
      <c r="W236" s="15" t="e">
        <f t="shared" si="91"/>
        <v>#VALUE!</v>
      </c>
    </row>
    <row r="237" spans="1:23" x14ac:dyDescent="0.2">
      <c r="A237" s="48" t="str">
        <f t="shared" si="89"/>
        <v/>
      </c>
      <c r="B237" s="2"/>
      <c r="C237" s="51"/>
      <c r="D237" s="51"/>
      <c r="E237" s="14" t="str">
        <f t="shared" si="90"/>
        <v/>
      </c>
      <c r="F237" s="47" t="str">
        <f t="shared" si="87"/>
        <v/>
      </c>
      <c r="G237" s="47" t="str">
        <f t="shared" si="72"/>
        <v/>
      </c>
      <c r="H237" s="49" t="str">
        <f t="shared" si="73"/>
        <v/>
      </c>
      <c r="I237" s="50" t="str">
        <f t="shared" si="74"/>
        <v/>
      </c>
      <c r="J237" s="49" t="str">
        <f t="shared" si="75"/>
        <v/>
      </c>
      <c r="K237" s="50" t="str">
        <f t="shared" si="76"/>
        <v/>
      </c>
      <c r="L237" s="47" t="str">
        <f t="shared" si="77"/>
        <v/>
      </c>
      <c r="M237" s="47" t="str">
        <f t="shared" si="78"/>
        <v/>
      </c>
      <c r="N237" s="47" t="str">
        <f t="shared" si="79"/>
        <v/>
      </c>
      <c r="O237" s="47" t="str">
        <f t="shared" si="80"/>
        <v/>
      </c>
      <c r="P237" s="47" t="str">
        <f t="shared" si="81"/>
        <v/>
      </c>
      <c r="S237" s="15">
        <f t="shared" si="82"/>
        <v>0</v>
      </c>
      <c r="T237" s="15">
        <f t="shared" si="83"/>
        <v>1</v>
      </c>
      <c r="U237" s="15" t="e">
        <f t="shared" si="84"/>
        <v>#VALUE!</v>
      </c>
      <c r="V237" s="15" t="e">
        <f t="shared" si="85"/>
        <v>#VALUE!</v>
      </c>
      <c r="W237" s="15" t="e">
        <f t="shared" si="91"/>
        <v>#VALUE!</v>
      </c>
    </row>
    <row r="238" spans="1:23" x14ac:dyDescent="0.2">
      <c r="A238" s="48" t="str">
        <f t="shared" si="89"/>
        <v/>
      </c>
      <c r="B238" s="2"/>
      <c r="C238" s="51"/>
      <c r="D238" s="51"/>
      <c r="E238" s="14" t="str">
        <f t="shared" si="90"/>
        <v/>
      </c>
      <c r="F238" s="47" t="str">
        <f t="shared" si="87"/>
        <v/>
      </c>
      <c r="G238" s="47" t="str">
        <f t="shared" si="72"/>
        <v/>
      </c>
      <c r="H238" s="49" t="str">
        <f t="shared" si="73"/>
        <v/>
      </c>
      <c r="I238" s="50" t="str">
        <f t="shared" si="74"/>
        <v/>
      </c>
      <c r="J238" s="49" t="str">
        <f t="shared" si="75"/>
        <v/>
      </c>
      <c r="K238" s="50" t="str">
        <f t="shared" si="76"/>
        <v/>
      </c>
      <c r="L238" s="47" t="str">
        <f t="shared" si="77"/>
        <v/>
      </c>
      <c r="M238" s="47" t="str">
        <f t="shared" si="78"/>
        <v/>
      </c>
      <c r="N238" s="47" t="str">
        <f t="shared" si="79"/>
        <v/>
      </c>
      <c r="O238" s="47" t="str">
        <f t="shared" si="80"/>
        <v/>
      </c>
      <c r="P238" s="47" t="str">
        <f t="shared" si="81"/>
        <v/>
      </c>
      <c r="S238" s="15">
        <f t="shared" si="82"/>
        <v>0</v>
      </c>
      <c r="T238" s="15">
        <f t="shared" si="83"/>
        <v>1</v>
      </c>
      <c r="U238" s="15" t="e">
        <f t="shared" si="84"/>
        <v>#VALUE!</v>
      </c>
      <c r="V238" s="15" t="e">
        <f t="shared" si="85"/>
        <v>#VALUE!</v>
      </c>
      <c r="W238" s="15" t="e">
        <f t="shared" si="91"/>
        <v>#VALUE!</v>
      </c>
    </row>
    <row r="239" spans="1:23" x14ac:dyDescent="0.2">
      <c r="A239" s="48" t="str">
        <f t="shared" si="89"/>
        <v/>
      </c>
      <c r="B239" s="2"/>
      <c r="C239" s="51"/>
      <c r="D239" s="51"/>
      <c r="E239" s="14" t="str">
        <f t="shared" si="90"/>
        <v/>
      </c>
      <c r="F239" s="47" t="str">
        <f t="shared" si="87"/>
        <v/>
      </c>
      <c r="G239" s="47" t="str">
        <f t="shared" si="72"/>
        <v/>
      </c>
      <c r="H239" s="49" t="str">
        <f t="shared" si="73"/>
        <v/>
      </c>
      <c r="I239" s="50" t="str">
        <f t="shared" si="74"/>
        <v/>
      </c>
      <c r="J239" s="49" t="str">
        <f t="shared" si="75"/>
        <v/>
      </c>
      <c r="K239" s="50" t="str">
        <f t="shared" si="76"/>
        <v/>
      </c>
      <c r="L239" s="47" t="str">
        <f t="shared" si="77"/>
        <v/>
      </c>
      <c r="M239" s="47" t="str">
        <f t="shared" si="78"/>
        <v/>
      </c>
      <c r="N239" s="47" t="str">
        <f t="shared" si="79"/>
        <v/>
      </c>
      <c r="O239" s="47" t="str">
        <f t="shared" si="80"/>
        <v/>
      </c>
      <c r="P239" s="47" t="str">
        <f t="shared" si="81"/>
        <v/>
      </c>
      <c r="S239" s="15">
        <f t="shared" si="82"/>
        <v>0</v>
      </c>
      <c r="T239" s="15">
        <f t="shared" si="83"/>
        <v>1</v>
      </c>
      <c r="U239" s="15" t="e">
        <f t="shared" si="84"/>
        <v>#VALUE!</v>
      </c>
      <c r="V239" s="15" t="e">
        <f t="shared" si="85"/>
        <v>#VALUE!</v>
      </c>
      <c r="W239" s="15" t="e">
        <f t="shared" si="91"/>
        <v>#VALUE!</v>
      </c>
    </row>
    <row r="240" spans="1:23" x14ac:dyDescent="0.2">
      <c r="A240" s="48" t="str">
        <f t="shared" si="89"/>
        <v/>
      </c>
      <c r="B240" s="2"/>
      <c r="C240" s="51"/>
      <c r="D240" s="51"/>
      <c r="E240" s="14" t="str">
        <f t="shared" si="90"/>
        <v/>
      </c>
      <c r="F240" s="47" t="str">
        <f t="shared" si="87"/>
        <v/>
      </c>
      <c r="G240" s="47" t="str">
        <f t="shared" si="72"/>
        <v/>
      </c>
      <c r="H240" s="49" t="str">
        <f t="shared" si="73"/>
        <v/>
      </c>
      <c r="I240" s="50" t="str">
        <f t="shared" si="74"/>
        <v/>
      </c>
      <c r="J240" s="49" t="str">
        <f t="shared" si="75"/>
        <v/>
      </c>
      <c r="K240" s="50" t="str">
        <f t="shared" si="76"/>
        <v/>
      </c>
      <c r="L240" s="47" t="str">
        <f t="shared" si="77"/>
        <v/>
      </c>
      <c r="M240" s="47" t="str">
        <f t="shared" si="78"/>
        <v/>
      </c>
      <c r="N240" s="47" t="str">
        <f t="shared" si="79"/>
        <v/>
      </c>
      <c r="O240" s="47" t="str">
        <f t="shared" si="80"/>
        <v/>
      </c>
      <c r="P240" s="47" t="str">
        <f t="shared" si="81"/>
        <v/>
      </c>
      <c r="S240" s="15">
        <f t="shared" si="82"/>
        <v>0</v>
      </c>
      <c r="T240" s="15">
        <f t="shared" si="83"/>
        <v>1</v>
      </c>
      <c r="U240" s="15" t="e">
        <f t="shared" si="84"/>
        <v>#VALUE!</v>
      </c>
      <c r="V240" s="15" t="e">
        <f t="shared" si="85"/>
        <v>#VALUE!</v>
      </c>
      <c r="W240" s="15" t="e">
        <f t="shared" si="91"/>
        <v>#VALUE!</v>
      </c>
    </row>
    <row r="241" spans="1:23" x14ac:dyDescent="0.2">
      <c r="A241" s="48" t="str">
        <f t="shared" si="89"/>
        <v/>
      </c>
      <c r="B241" s="2"/>
      <c r="C241" s="51"/>
      <c r="D241" s="51"/>
      <c r="E241" s="14" t="str">
        <f t="shared" si="90"/>
        <v/>
      </c>
      <c r="F241" s="47" t="str">
        <f t="shared" si="87"/>
        <v/>
      </c>
      <c r="G241" s="47" t="str">
        <f t="shared" si="72"/>
        <v/>
      </c>
      <c r="H241" s="49" t="str">
        <f t="shared" si="73"/>
        <v/>
      </c>
      <c r="I241" s="50" t="str">
        <f t="shared" si="74"/>
        <v/>
      </c>
      <c r="J241" s="49" t="str">
        <f t="shared" si="75"/>
        <v/>
      </c>
      <c r="K241" s="50" t="str">
        <f t="shared" si="76"/>
        <v/>
      </c>
      <c r="L241" s="47" t="str">
        <f t="shared" si="77"/>
        <v/>
      </c>
      <c r="M241" s="47" t="str">
        <f t="shared" si="78"/>
        <v/>
      </c>
      <c r="N241" s="47" t="str">
        <f t="shared" si="79"/>
        <v/>
      </c>
      <c r="O241" s="47" t="str">
        <f t="shared" si="80"/>
        <v/>
      </c>
      <c r="P241" s="47" t="str">
        <f t="shared" si="81"/>
        <v/>
      </c>
      <c r="S241" s="15">
        <f t="shared" si="82"/>
        <v>0</v>
      </c>
      <c r="T241" s="15">
        <f t="shared" si="83"/>
        <v>1</v>
      </c>
      <c r="U241" s="15" t="e">
        <f t="shared" si="84"/>
        <v>#VALUE!</v>
      </c>
      <c r="V241" s="15" t="e">
        <f t="shared" si="85"/>
        <v>#VALUE!</v>
      </c>
      <c r="W241" s="15" t="e">
        <f t="shared" si="91"/>
        <v>#VALUE!</v>
      </c>
    </row>
    <row r="242" spans="1:23" x14ac:dyDescent="0.2">
      <c r="A242" s="48" t="str">
        <f t="shared" si="89"/>
        <v/>
      </c>
      <c r="B242" s="2"/>
      <c r="C242" s="51"/>
      <c r="D242" s="51"/>
      <c r="E242" s="14" t="str">
        <f t="shared" ref="E242:E305" si="92">IF($B242="","",B242-B241)</f>
        <v/>
      </c>
      <c r="F242" s="47" t="str">
        <f t="shared" ref="F242:F305" si="93">IF(B242="","",IF($U$1=1,F241+(T242*E242/2*(COS(RADIANS(C242))+COS(RADIANS(C241)))), IF($U$1=2,IF(C242=C241,F241+E242*(COS(RADIANS(C242))),F241+(E242/(C242-C241))*(DEGREES(SIN(RADIANS(C242))-SIN(RADIANS(C241))))),F241+(E242*(COS(RADIANS((C242+C241)/2)))))))</f>
        <v/>
      </c>
      <c r="G242" s="47" t="str">
        <f t="shared" ref="G242:G305" si="94">IF(B242="","",L242*COS(RADIANS(M242-$N$2)))</f>
        <v/>
      </c>
      <c r="H242" s="49" t="str">
        <f t="shared" ref="H242:H305" si="95">IF(B242="","",ABS(U242))</f>
        <v/>
      </c>
      <c r="I242" s="50" t="str">
        <f t="shared" ref="I242:I305" si="96">IF(B242="","",IF(U242&lt;0,"S","N"))</f>
        <v/>
      </c>
      <c r="J242" s="49" t="str">
        <f t="shared" ref="J242:J305" si="97">IF(B242="","",ABS(V242))</f>
        <v/>
      </c>
      <c r="K242" s="50" t="str">
        <f t="shared" ref="K242:K305" si="98">IF(B242="","",IF(V242&lt;0,"W","E"))</f>
        <v/>
      </c>
      <c r="L242" s="47" t="str">
        <f t="shared" ref="L242:L305" si="99">IF(B242="","",(H242^2+J242^2)^0.5)</f>
        <v/>
      </c>
      <c r="M242" s="47" t="str">
        <f t="shared" ref="M242:M305" si="100">IF(B242="","",IF(I242="S", 180+W242,IF(AND(I242="N",K242="E"),W242,360+W242)))</f>
        <v/>
      </c>
      <c r="N242" s="47" t="str">
        <f t="shared" ref="N242:N305" si="101">IF(B242="","",S242*100/E242)</f>
        <v/>
      </c>
      <c r="O242" s="47" t="str">
        <f t="shared" ref="O242:O305" si="102">IF(B242="","",(C242-C241)*(100/E242))</f>
        <v/>
      </c>
      <c r="P242" s="47" t="str">
        <f t="shared" ref="P242:P305" si="103">IF(B242="","",(D242-D241)*(100/E242))</f>
        <v/>
      </c>
      <c r="S242" s="15">
        <f t="shared" ref="S242:S305" si="104">DEGREES(ACOS(COS(RADIANS(C242-C241))+((SIN(RADIANS(C242)))*(SIN(RADIANS(C241))))*((COS(RADIANS(D242-D241)))-1)))</f>
        <v>0</v>
      </c>
      <c r="T242" s="15">
        <f t="shared" ref="T242:T305" si="105">IF($U$1=1,IF(S242&lt;0.25,1,(2/S242)*(DEGREES((TAN(RADIANS(S242/2)))))),IF($U$1=2,IF(C242=C241,E242*(SIN(RADIANS(C242))),(E242/(C242-C241))*(DEGREES(COS(RADIANS(C242))-COS(RADIANS(C241))))),E242*SIN(RADIANS((C242+C241)/2))))</f>
        <v>1</v>
      </c>
      <c r="U242" s="15" t="e">
        <f t="shared" ref="U242:U305" si="106">IF($U$1=1,U241+(T242*E242/2*((SIN(RADIANS(C242))*COS(RADIANS(D242)))+(SIN(RADIANS(C241))*COS(RADIANS(D241))))),IF($U$1=2,IF(D242=D241,U241+(-T242*(COS(RADIANS(D242)))),U241+(-T242/(D242-D241))*(DEGREES(SIN(RADIANS(D242))-SIN(RADIANS(D241))))),U241+T242*(COS(RADIANS((D242+D241)/2)))))</f>
        <v>#VALUE!</v>
      </c>
      <c r="V242" s="15" t="e">
        <f t="shared" ref="V242:V305" si="107">IF($U$1=1,V241+(T242*E242/2*((SIN(RADIANS(C242))*SIN(RADIANS(D242)))+(SIN(RADIANS(C241))*SIN(RADIANS(D241))))),IF($U$1=2,IF(D242=D241,V241-T242*(SIN(RADIANS(D242))),V241+(T242/(D242-D241))*(DEGREES(COS(RADIANS(D242))-COS(RADIANS(D241))))),V241+(T242*(SIN(RADIANS((D242+D241)/2))))))</f>
        <v>#VALUE!</v>
      </c>
      <c r="W242" s="15" t="e">
        <f t="shared" ref="W242:W305" si="108">DEGREES(ATAN(V242/U242))</f>
        <v>#VALUE!</v>
      </c>
    </row>
    <row r="243" spans="1:23" x14ac:dyDescent="0.2">
      <c r="A243" s="48" t="str">
        <f t="shared" si="89"/>
        <v/>
      </c>
      <c r="B243" s="2"/>
      <c r="C243" s="51"/>
      <c r="D243" s="51"/>
      <c r="E243" s="14" t="str">
        <f t="shared" si="92"/>
        <v/>
      </c>
      <c r="F243" s="47" t="str">
        <f t="shared" si="93"/>
        <v/>
      </c>
      <c r="G243" s="47" t="str">
        <f t="shared" si="94"/>
        <v/>
      </c>
      <c r="H243" s="49" t="str">
        <f t="shared" si="95"/>
        <v/>
      </c>
      <c r="I243" s="50" t="str">
        <f t="shared" si="96"/>
        <v/>
      </c>
      <c r="J243" s="49" t="str">
        <f t="shared" si="97"/>
        <v/>
      </c>
      <c r="K243" s="50" t="str">
        <f t="shared" si="98"/>
        <v/>
      </c>
      <c r="L243" s="47" t="str">
        <f t="shared" si="99"/>
        <v/>
      </c>
      <c r="M243" s="47" t="str">
        <f t="shared" si="100"/>
        <v/>
      </c>
      <c r="N243" s="47" t="str">
        <f t="shared" si="101"/>
        <v/>
      </c>
      <c r="O243" s="47" t="str">
        <f t="shared" si="102"/>
        <v/>
      </c>
      <c r="P243" s="47" t="str">
        <f t="shared" si="103"/>
        <v/>
      </c>
      <c r="S243" s="15">
        <f t="shared" si="104"/>
        <v>0</v>
      </c>
      <c r="T243" s="15">
        <f t="shared" si="105"/>
        <v>1</v>
      </c>
      <c r="U243" s="15" t="e">
        <f t="shared" si="106"/>
        <v>#VALUE!</v>
      </c>
      <c r="V243" s="15" t="e">
        <f t="shared" si="107"/>
        <v>#VALUE!</v>
      </c>
      <c r="W243" s="15" t="e">
        <f t="shared" si="108"/>
        <v>#VALUE!</v>
      </c>
    </row>
    <row r="244" spans="1:23" x14ac:dyDescent="0.2">
      <c r="A244" s="48" t="str">
        <f t="shared" si="89"/>
        <v/>
      </c>
      <c r="B244" s="2"/>
      <c r="C244" s="51"/>
      <c r="D244" s="51"/>
      <c r="E244" s="14" t="str">
        <f t="shared" si="92"/>
        <v/>
      </c>
      <c r="F244" s="47" t="str">
        <f t="shared" si="93"/>
        <v/>
      </c>
      <c r="G244" s="47" t="str">
        <f t="shared" si="94"/>
        <v/>
      </c>
      <c r="H244" s="49" t="str">
        <f t="shared" si="95"/>
        <v/>
      </c>
      <c r="I244" s="50" t="str">
        <f t="shared" si="96"/>
        <v/>
      </c>
      <c r="J244" s="49" t="str">
        <f t="shared" si="97"/>
        <v/>
      </c>
      <c r="K244" s="50" t="str">
        <f t="shared" si="98"/>
        <v/>
      </c>
      <c r="L244" s="47" t="str">
        <f t="shared" si="99"/>
        <v/>
      </c>
      <c r="M244" s="47" t="str">
        <f t="shared" si="100"/>
        <v/>
      </c>
      <c r="N244" s="47" t="str">
        <f t="shared" si="101"/>
        <v/>
      </c>
      <c r="O244" s="47" t="str">
        <f t="shared" si="102"/>
        <v/>
      </c>
      <c r="P244" s="47" t="str">
        <f t="shared" si="103"/>
        <v/>
      </c>
      <c r="S244" s="15">
        <f t="shared" si="104"/>
        <v>0</v>
      </c>
      <c r="T244" s="15">
        <f t="shared" si="105"/>
        <v>1</v>
      </c>
      <c r="U244" s="15" t="e">
        <f t="shared" si="106"/>
        <v>#VALUE!</v>
      </c>
      <c r="V244" s="15" t="e">
        <f t="shared" si="107"/>
        <v>#VALUE!</v>
      </c>
      <c r="W244" s="15" t="e">
        <f t="shared" si="108"/>
        <v>#VALUE!</v>
      </c>
    </row>
    <row r="245" spans="1:23" x14ac:dyDescent="0.2">
      <c r="A245" s="48" t="str">
        <f t="shared" si="89"/>
        <v/>
      </c>
      <c r="B245" s="2"/>
      <c r="C245" s="51"/>
      <c r="D245" s="51"/>
      <c r="E245" s="14" t="str">
        <f t="shared" si="92"/>
        <v/>
      </c>
      <c r="F245" s="47" t="str">
        <f t="shared" si="93"/>
        <v/>
      </c>
      <c r="G245" s="47" t="str">
        <f t="shared" si="94"/>
        <v/>
      </c>
      <c r="H245" s="49" t="str">
        <f t="shared" si="95"/>
        <v/>
      </c>
      <c r="I245" s="50" t="str">
        <f t="shared" si="96"/>
        <v/>
      </c>
      <c r="J245" s="49" t="str">
        <f t="shared" si="97"/>
        <v/>
      </c>
      <c r="K245" s="50" t="str">
        <f t="shared" si="98"/>
        <v/>
      </c>
      <c r="L245" s="47" t="str">
        <f t="shared" si="99"/>
        <v/>
      </c>
      <c r="M245" s="47" t="str">
        <f t="shared" si="100"/>
        <v/>
      </c>
      <c r="N245" s="47" t="str">
        <f t="shared" si="101"/>
        <v/>
      </c>
      <c r="O245" s="47" t="str">
        <f t="shared" si="102"/>
        <v/>
      </c>
      <c r="P245" s="47" t="str">
        <f t="shared" si="103"/>
        <v/>
      </c>
      <c r="S245" s="15">
        <f t="shared" si="104"/>
        <v>0</v>
      </c>
      <c r="T245" s="15">
        <f t="shared" si="105"/>
        <v>1</v>
      </c>
      <c r="U245" s="15" t="e">
        <f t="shared" si="106"/>
        <v>#VALUE!</v>
      </c>
      <c r="V245" s="15" t="e">
        <f t="shared" si="107"/>
        <v>#VALUE!</v>
      </c>
      <c r="W245" s="15" t="e">
        <f t="shared" si="108"/>
        <v>#VALUE!</v>
      </c>
    </row>
    <row r="246" spans="1:23" x14ac:dyDescent="0.2">
      <c r="A246" s="48" t="str">
        <f t="shared" si="89"/>
        <v/>
      </c>
      <c r="B246" s="2"/>
      <c r="C246" s="51"/>
      <c r="D246" s="51"/>
      <c r="E246" s="14" t="str">
        <f t="shared" si="92"/>
        <v/>
      </c>
      <c r="F246" s="47" t="str">
        <f t="shared" si="93"/>
        <v/>
      </c>
      <c r="G246" s="47" t="str">
        <f t="shared" si="94"/>
        <v/>
      </c>
      <c r="H246" s="49" t="str">
        <f t="shared" si="95"/>
        <v/>
      </c>
      <c r="I246" s="50" t="str">
        <f t="shared" si="96"/>
        <v/>
      </c>
      <c r="J246" s="49" t="str">
        <f t="shared" si="97"/>
        <v/>
      </c>
      <c r="K246" s="50" t="str">
        <f t="shared" si="98"/>
        <v/>
      </c>
      <c r="L246" s="47" t="str">
        <f t="shared" si="99"/>
        <v/>
      </c>
      <c r="M246" s="47" t="str">
        <f t="shared" si="100"/>
        <v/>
      </c>
      <c r="N246" s="47" t="str">
        <f t="shared" si="101"/>
        <v/>
      </c>
      <c r="O246" s="47" t="str">
        <f t="shared" si="102"/>
        <v/>
      </c>
      <c r="P246" s="47" t="str">
        <f t="shared" si="103"/>
        <v/>
      </c>
      <c r="S246" s="15">
        <f t="shared" si="104"/>
        <v>0</v>
      </c>
      <c r="T246" s="15">
        <f t="shared" si="105"/>
        <v>1</v>
      </c>
      <c r="U246" s="15" t="e">
        <f t="shared" si="106"/>
        <v>#VALUE!</v>
      </c>
      <c r="V246" s="15" t="e">
        <f t="shared" si="107"/>
        <v>#VALUE!</v>
      </c>
      <c r="W246" s="15" t="e">
        <f t="shared" si="108"/>
        <v>#VALUE!</v>
      </c>
    </row>
    <row r="247" spans="1:23" x14ac:dyDescent="0.2">
      <c r="A247" s="48" t="str">
        <f t="shared" si="89"/>
        <v/>
      </c>
      <c r="B247" s="2"/>
      <c r="C247" s="51"/>
      <c r="D247" s="51"/>
      <c r="E247" s="14" t="str">
        <f t="shared" si="92"/>
        <v/>
      </c>
      <c r="F247" s="47" t="str">
        <f t="shared" si="93"/>
        <v/>
      </c>
      <c r="G247" s="47" t="str">
        <f t="shared" si="94"/>
        <v/>
      </c>
      <c r="H247" s="49" t="str">
        <f t="shared" si="95"/>
        <v/>
      </c>
      <c r="I247" s="50" t="str">
        <f t="shared" si="96"/>
        <v/>
      </c>
      <c r="J247" s="49" t="str">
        <f t="shared" si="97"/>
        <v/>
      </c>
      <c r="K247" s="50" t="str">
        <f t="shared" si="98"/>
        <v/>
      </c>
      <c r="L247" s="47" t="str">
        <f t="shared" si="99"/>
        <v/>
      </c>
      <c r="M247" s="47" t="str">
        <f t="shared" si="100"/>
        <v/>
      </c>
      <c r="N247" s="47" t="str">
        <f t="shared" si="101"/>
        <v/>
      </c>
      <c r="O247" s="47" t="str">
        <f t="shared" si="102"/>
        <v/>
      </c>
      <c r="P247" s="47" t="str">
        <f t="shared" si="103"/>
        <v/>
      </c>
      <c r="S247" s="15">
        <f t="shared" si="104"/>
        <v>0</v>
      </c>
      <c r="T247" s="15">
        <f t="shared" si="105"/>
        <v>1</v>
      </c>
      <c r="U247" s="15" t="e">
        <f t="shared" si="106"/>
        <v>#VALUE!</v>
      </c>
      <c r="V247" s="15" t="e">
        <f t="shared" si="107"/>
        <v>#VALUE!</v>
      </c>
      <c r="W247" s="15" t="e">
        <f t="shared" si="108"/>
        <v>#VALUE!</v>
      </c>
    </row>
    <row r="248" spans="1:23" x14ac:dyDescent="0.2">
      <c r="A248" s="48" t="str">
        <f t="shared" si="89"/>
        <v/>
      </c>
      <c r="B248" s="2"/>
      <c r="C248" s="51"/>
      <c r="D248" s="51"/>
      <c r="E248" s="14" t="str">
        <f t="shared" si="92"/>
        <v/>
      </c>
      <c r="F248" s="47" t="str">
        <f t="shared" si="93"/>
        <v/>
      </c>
      <c r="G248" s="47" t="str">
        <f t="shared" si="94"/>
        <v/>
      </c>
      <c r="H248" s="49" t="str">
        <f t="shared" si="95"/>
        <v/>
      </c>
      <c r="I248" s="50" t="str">
        <f t="shared" si="96"/>
        <v/>
      </c>
      <c r="J248" s="49" t="str">
        <f t="shared" si="97"/>
        <v/>
      </c>
      <c r="K248" s="50" t="str">
        <f t="shared" si="98"/>
        <v/>
      </c>
      <c r="L248" s="47" t="str">
        <f t="shared" si="99"/>
        <v/>
      </c>
      <c r="M248" s="47" t="str">
        <f t="shared" si="100"/>
        <v/>
      </c>
      <c r="N248" s="47" t="str">
        <f t="shared" si="101"/>
        <v/>
      </c>
      <c r="O248" s="47" t="str">
        <f t="shared" si="102"/>
        <v/>
      </c>
      <c r="P248" s="47" t="str">
        <f t="shared" si="103"/>
        <v/>
      </c>
      <c r="S248" s="15">
        <f t="shared" si="104"/>
        <v>0</v>
      </c>
      <c r="T248" s="15">
        <f t="shared" si="105"/>
        <v>1</v>
      </c>
      <c r="U248" s="15" t="e">
        <f t="shared" si="106"/>
        <v>#VALUE!</v>
      </c>
      <c r="V248" s="15" t="e">
        <f t="shared" si="107"/>
        <v>#VALUE!</v>
      </c>
      <c r="W248" s="15" t="e">
        <f t="shared" si="108"/>
        <v>#VALUE!</v>
      </c>
    </row>
    <row r="249" spans="1:23" x14ac:dyDescent="0.2">
      <c r="A249" s="48" t="str">
        <f t="shared" si="89"/>
        <v/>
      </c>
      <c r="B249" s="2"/>
      <c r="C249" s="51"/>
      <c r="D249" s="51"/>
      <c r="E249" s="14" t="str">
        <f t="shared" si="92"/>
        <v/>
      </c>
      <c r="F249" s="47" t="str">
        <f t="shared" si="93"/>
        <v/>
      </c>
      <c r="G249" s="47" t="str">
        <f t="shared" si="94"/>
        <v/>
      </c>
      <c r="H249" s="49" t="str">
        <f t="shared" si="95"/>
        <v/>
      </c>
      <c r="I249" s="50" t="str">
        <f t="shared" si="96"/>
        <v/>
      </c>
      <c r="J249" s="49" t="str">
        <f t="shared" si="97"/>
        <v/>
      </c>
      <c r="K249" s="50" t="str">
        <f t="shared" si="98"/>
        <v/>
      </c>
      <c r="L249" s="47" t="str">
        <f t="shared" si="99"/>
        <v/>
      </c>
      <c r="M249" s="47" t="str">
        <f t="shared" si="100"/>
        <v/>
      </c>
      <c r="N249" s="47" t="str">
        <f t="shared" si="101"/>
        <v/>
      </c>
      <c r="O249" s="47" t="str">
        <f t="shared" si="102"/>
        <v/>
      </c>
      <c r="P249" s="47" t="str">
        <f t="shared" si="103"/>
        <v/>
      </c>
      <c r="S249" s="15">
        <f t="shared" si="104"/>
        <v>0</v>
      </c>
      <c r="T249" s="15">
        <f t="shared" si="105"/>
        <v>1</v>
      </c>
      <c r="U249" s="15" t="e">
        <f t="shared" si="106"/>
        <v>#VALUE!</v>
      </c>
      <c r="V249" s="15" t="e">
        <f t="shared" si="107"/>
        <v>#VALUE!</v>
      </c>
      <c r="W249" s="15" t="e">
        <f t="shared" si="108"/>
        <v>#VALUE!</v>
      </c>
    </row>
    <row r="250" spans="1:23" x14ac:dyDescent="0.2">
      <c r="A250" s="48" t="str">
        <f t="shared" si="89"/>
        <v/>
      </c>
      <c r="B250" s="2"/>
      <c r="C250" s="51"/>
      <c r="D250" s="51"/>
      <c r="E250" s="14" t="str">
        <f t="shared" si="92"/>
        <v/>
      </c>
      <c r="F250" s="47" t="str">
        <f t="shared" si="93"/>
        <v/>
      </c>
      <c r="G250" s="47" t="str">
        <f t="shared" si="94"/>
        <v/>
      </c>
      <c r="H250" s="49" t="str">
        <f t="shared" si="95"/>
        <v/>
      </c>
      <c r="I250" s="50" t="str">
        <f t="shared" si="96"/>
        <v/>
      </c>
      <c r="J250" s="49" t="str">
        <f t="shared" si="97"/>
        <v/>
      </c>
      <c r="K250" s="50" t="str">
        <f t="shared" si="98"/>
        <v/>
      </c>
      <c r="L250" s="47" t="str">
        <f t="shared" si="99"/>
        <v/>
      </c>
      <c r="M250" s="47" t="str">
        <f t="shared" si="100"/>
        <v/>
      </c>
      <c r="N250" s="47" t="str">
        <f t="shared" si="101"/>
        <v/>
      </c>
      <c r="O250" s="47" t="str">
        <f t="shared" si="102"/>
        <v/>
      </c>
      <c r="P250" s="47" t="str">
        <f t="shared" si="103"/>
        <v/>
      </c>
      <c r="S250" s="15">
        <f t="shared" si="104"/>
        <v>0</v>
      </c>
      <c r="T250" s="15">
        <f t="shared" si="105"/>
        <v>1</v>
      </c>
      <c r="U250" s="15" t="e">
        <f t="shared" si="106"/>
        <v>#VALUE!</v>
      </c>
      <c r="V250" s="15" t="e">
        <f t="shared" si="107"/>
        <v>#VALUE!</v>
      </c>
      <c r="W250" s="15" t="e">
        <f t="shared" si="108"/>
        <v>#VALUE!</v>
      </c>
    </row>
    <row r="251" spans="1:23" x14ac:dyDescent="0.2">
      <c r="A251" s="48" t="str">
        <f t="shared" si="89"/>
        <v/>
      </c>
      <c r="B251" s="2"/>
      <c r="C251" s="51"/>
      <c r="D251" s="51"/>
      <c r="E251" s="14" t="str">
        <f t="shared" si="92"/>
        <v/>
      </c>
      <c r="F251" s="47" t="str">
        <f t="shared" si="93"/>
        <v/>
      </c>
      <c r="G251" s="47" t="str">
        <f t="shared" si="94"/>
        <v/>
      </c>
      <c r="H251" s="49" t="str">
        <f t="shared" si="95"/>
        <v/>
      </c>
      <c r="I251" s="50" t="str">
        <f t="shared" si="96"/>
        <v/>
      </c>
      <c r="J251" s="49" t="str">
        <f t="shared" si="97"/>
        <v/>
      </c>
      <c r="K251" s="50" t="str">
        <f t="shared" si="98"/>
        <v/>
      </c>
      <c r="L251" s="47" t="str">
        <f t="shared" si="99"/>
        <v/>
      </c>
      <c r="M251" s="47" t="str">
        <f t="shared" si="100"/>
        <v/>
      </c>
      <c r="N251" s="47" t="str">
        <f t="shared" si="101"/>
        <v/>
      </c>
      <c r="O251" s="47" t="str">
        <f t="shared" si="102"/>
        <v/>
      </c>
      <c r="P251" s="47" t="str">
        <f t="shared" si="103"/>
        <v/>
      </c>
      <c r="S251" s="15">
        <f t="shared" si="104"/>
        <v>0</v>
      </c>
      <c r="T251" s="15">
        <f t="shared" si="105"/>
        <v>1</v>
      </c>
      <c r="U251" s="15" t="e">
        <f t="shared" si="106"/>
        <v>#VALUE!</v>
      </c>
      <c r="V251" s="15" t="e">
        <f t="shared" si="107"/>
        <v>#VALUE!</v>
      </c>
      <c r="W251" s="15" t="e">
        <f t="shared" si="108"/>
        <v>#VALUE!</v>
      </c>
    </row>
    <row r="252" spans="1:23" x14ac:dyDescent="0.2">
      <c r="A252" s="48" t="str">
        <f t="shared" si="89"/>
        <v/>
      </c>
      <c r="B252" s="2"/>
      <c r="C252" s="51"/>
      <c r="D252" s="51"/>
      <c r="E252" s="14" t="str">
        <f t="shared" si="92"/>
        <v/>
      </c>
      <c r="F252" s="47" t="str">
        <f t="shared" si="93"/>
        <v/>
      </c>
      <c r="G252" s="47" t="str">
        <f t="shared" si="94"/>
        <v/>
      </c>
      <c r="H252" s="49" t="str">
        <f t="shared" si="95"/>
        <v/>
      </c>
      <c r="I252" s="50" t="str">
        <f t="shared" si="96"/>
        <v/>
      </c>
      <c r="J252" s="49" t="str">
        <f t="shared" si="97"/>
        <v/>
      </c>
      <c r="K252" s="50" t="str">
        <f t="shared" si="98"/>
        <v/>
      </c>
      <c r="L252" s="47" t="str">
        <f t="shared" si="99"/>
        <v/>
      </c>
      <c r="M252" s="47" t="str">
        <f t="shared" si="100"/>
        <v/>
      </c>
      <c r="N252" s="47" t="str">
        <f t="shared" si="101"/>
        <v/>
      </c>
      <c r="O252" s="47" t="str">
        <f t="shared" si="102"/>
        <v/>
      </c>
      <c r="P252" s="47" t="str">
        <f t="shared" si="103"/>
        <v/>
      </c>
      <c r="S252" s="15">
        <f t="shared" si="104"/>
        <v>0</v>
      </c>
      <c r="T252" s="15">
        <f t="shared" si="105"/>
        <v>1</v>
      </c>
      <c r="U252" s="15" t="e">
        <f t="shared" si="106"/>
        <v>#VALUE!</v>
      </c>
      <c r="V252" s="15" t="e">
        <f t="shared" si="107"/>
        <v>#VALUE!</v>
      </c>
      <c r="W252" s="15" t="e">
        <f t="shared" si="108"/>
        <v>#VALUE!</v>
      </c>
    </row>
    <row r="253" spans="1:23" x14ac:dyDescent="0.2">
      <c r="A253" s="48" t="str">
        <f t="shared" si="89"/>
        <v/>
      </c>
      <c r="B253" s="2"/>
      <c r="C253" s="51"/>
      <c r="D253" s="51"/>
      <c r="E253" s="14" t="str">
        <f t="shared" si="92"/>
        <v/>
      </c>
      <c r="F253" s="47" t="str">
        <f t="shared" si="93"/>
        <v/>
      </c>
      <c r="G253" s="47" t="str">
        <f t="shared" si="94"/>
        <v/>
      </c>
      <c r="H253" s="49" t="str">
        <f t="shared" si="95"/>
        <v/>
      </c>
      <c r="I253" s="50" t="str">
        <f t="shared" si="96"/>
        <v/>
      </c>
      <c r="J253" s="49" t="str">
        <f t="shared" si="97"/>
        <v/>
      </c>
      <c r="K253" s="50" t="str">
        <f t="shared" si="98"/>
        <v/>
      </c>
      <c r="L253" s="47" t="str">
        <f t="shared" si="99"/>
        <v/>
      </c>
      <c r="M253" s="47" t="str">
        <f t="shared" si="100"/>
        <v/>
      </c>
      <c r="N253" s="47" t="str">
        <f t="shared" si="101"/>
        <v/>
      </c>
      <c r="O253" s="47" t="str">
        <f t="shared" si="102"/>
        <v/>
      </c>
      <c r="P253" s="47" t="str">
        <f t="shared" si="103"/>
        <v/>
      </c>
      <c r="S253" s="15">
        <f t="shared" si="104"/>
        <v>0</v>
      </c>
      <c r="T253" s="15">
        <f t="shared" si="105"/>
        <v>1</v>
      </c>
      <c r="U253" s="15" t="e">
        <f t="shared" si="106"/>
        <v>#VALUE!</v>
      </c>
      <c r="V253" s="15" t="e">
        <f t="shared" si="107"/>
        <v>#VALUE!</v>
      </c>
      <c r="W253" s="15" t="e">
        <f t="shared" si="108"/>
        <v>#VALUE!</v>
      </c>
    </row>
    <row r="254" spans="1:23" x14ac:dyDescent="0.2">
      <c r="A254" s="48" t="str">
        <f t="shared" si="89"/>
        <v/>
      </c>
      <c r="B254" s="2"/>
      <c r="C254" s="51"/>
      <c r="D254" s="51"/>
      <c r="E254" s="14" t="str">
        <f t="shared" si="92"/>
        <v/>
      </c>
      <c r="F254" s="47" t="str">
        <f t="shared" si="93"/>
        <v/>
      </c>
      <c r="G254" s="47" t="str">
        <f t="shared" si="94"/>
        <v/>
      </c>
      <c r="H254" s="49" t="str">
        <f t="shared" si="95"/>
        <v/>
      </c>
      <c r="I254" s="50" t="str">
        <f t="shared" si="96"/>
        <v/>
      </c>
      <c r="J254" s="49" t="str">
        <f t="shared" si="97"/>
        <v/>
      </c>
      <c r="K254" s="50" t="str">
        <f t="shared" si="98"/>
        <v/>
      </c>
      <c r="L254" s="47" t="str">
        <f t="shared" si="99"/>
        <v/>
      </c>
      <c r="M254" s="47" t="str">
        <f t="shared" si="100"/>
        <v/>
      </c>
      <c r="N254" s="47" t="str">
        <f t="shared" si="101"/>
        <v/>
      </c>
      <c r="O254" s="47" t="str">
        <f t="shared" si="102"/>
        <v/>
      </c>
      <c r="P254" s="47" t="str">
        <f t="shared" si="103"/>
        <v/>
      </c>
      <c r="S254" s="15">
        <f t="shared" si="104"/>
        <v>0</v>
      </c>
      <c r="T254" s="15">
        <f t="shared" si="105"/>
        <v>1</v>
      </c>
      <c r="U254" s="15" t="e">
        <f t="shared" si="106"/>
        <v>#VALUE!</v>
      </c>
      <c r="V254" s="15" t="e">
        <f t="shared" si="107"/>
        <v>#VALUE!</v>
      </c>
      <c r="W254" s="15" t="e">
        <f t="shared" si="108"/>
        <v>#VALUE!</v>
      </c>
    </row>
    <row r="255" spans="1:23" x14ac:dyDescent="0.2">
      <c r="A255" s="48" t="str">
        <f t="shared" si="89"/>
        <v/>
      </c>
      <c r="B255" s="2"/>
      <c r="C255" s="51"/>
      <c r="D255" s="51"/>
      <c r="E255" s="14" t="str">
        <f t="shared" si="92"/>
        <v/>
      </c>
      <c r="F255" s="47" t="str">
        <f t="shared" si="93"/>
        <v/>
      </c>
      <c r="G255" s="47" t="str">
        <f t="shared" si="94"/>
        <v/>
      </c>
      <c r="H255" s="49" t="str">
        <f t="shared" si="95"/>
        <v/>
      </c>
      <c r="I255" s="50" t="str">
        <f t="shared" si="96"/>
        <v/>
      </c>
      <c r="J255" s="49" t="str">
        <f t="shared" si="97"/>
        <v/>
      </c>
      <c r="K255" s="50" t="str">
        <f t="shared" si="98"/>
        <v/>
      </c>
      <c r="L255" s="47" t="str">
        <f t="shared" si="99"/>
        <v/>
      </c>
      <c r="M255" s="47" t="str">
        <f t="shared" si="100"/>
        <v/>
      </c>
      <c r="N255" s="47" t="str">
        <f t="shared" si="101"/>
        <v/>
      </c>
      <c r="O255" s="47" t="str">
        <f t="shared" si="102"/>
        <v/>
      </c>
      <c r="P255" s="47" t="str">
        <f t="shared" si="103"/>
        <v/>
      </c>
      <c r="S255" s="15">
        <f t="shared" si="104"/>
        <v>0</v>
      </c>
      <c r="T255" s="15">
        <f t="shared" si="105"/>
        <v>1</v>
      </c>
      <c r="U255" s="15" t="e">
        <f t="shared" si="106"/>
        <v>#VALUE!</v>
      </c>
      <c r="V255" s="15" t="e">
        <f t="shared" si="107"/>
        <v>#VALUE!</v>
      </c>
      <c r="W255" s="15" t="e">
        <f t="shared" si="108"/>
        <v>#VALUE!</v>
      </c>
    </row>
    <row r="256" spans="1:23" x14ac:dyDescent="0.2">
      <c r="A256" s="48" t="str">
        <f t="shared" si="89"/>
        <v/>
      </c>
      <c r="B256" s="2"/>
      <c r="C256" s="51"/>
      <c r="D256" s="51"/>
      <c r="E256" s="14" t="str">
        <f t="shared" si="92"/>
        <v/>
      </c>
      <c r="F256" s="47" t="str">
        <f t="shared" si="93"/>
        <v/>
      </c>
      <c r="G256" s="47" t="str">
        <f t="shared" si="94"/>
        <v/>
      </c>
      <c r="H256" s="49" t="str">
        <f t="shared" si="95"/>
        <v/>
      </c>
      <c r="I256" s="50" t="str">
        <f t="shared" si="96"/>
        <v/>
      </c>
      <c r="J256" s="49" t="str">
        <f t="shared" si="97"/>
        <v/>
      </c>
      <c r="K256" s="50" t="str">
        <f t="shared" si="98"/>
        <v/>
      </c>
      <c r="L256" s="47" t="str">
        <f t="shared" si="99"/>
        <v/>
      </c>
      <c r="M256" s="47" t="str">
        <f t="shared" si="100"/>
        <v/>
      </c>
      <c r="N256" s="47" t="str">
        <f t="shared" si="101"/>
        <v/>
      </c>
      <c r="O256" s="47" t="str">
        <f t="shared" si="102"/>
        <v/>
      </c>
      <c r="P256" s="47" t="str">
        <f t="shared" si="103"/>
        <v/>
      </c>
      <c r="S256" s="15">
        <f t="shared" si="104"/>
        <v>0</v>
      </c>
      <c r="T256" s="15">
        <f t="shared" si="105"/>
        <v>1</v>
      </c>
      <c r="U256" s="15" t="e">
        <f t="shared" si="106"/>
        <v>#VALUE!</v>
      </c>
      <c r="V256" s="15" t="e">
        <f t="shared" si="107"/>
        <v>#VALUE!</v>
      </c>
      <c r="W256" s="15" t="e">
        <f t="shared" si="108"/>
        <v>#VALUE!</v>
      </c>
    </row>
    <row r="257" spans="1:23" x14ac:dyDescent="0.2">
      <c r="A257" s="48" t="str">
        <f t="shared" si="89"/>
        <v/>
      </c>
      <c r="B257" s="2"/>
      <c r="C257" s="51"/>
      <c r="D257" s="51"/>
      <c r="E257" s="14" t="str">
        <f t="shared" si="92"/>
        <v/>
      </c>
      <c r="F257" s="47" t="str">
        <f t="shared" si="93"/>
        <v/>
      </c>
      <c r="G257" s="47" t="str">
        <f t="shared" si="94"/>
        <v/>
      </c>
      <c r="H257" s="49" t="str">
        <f t="shared" si="95"/>
        <v/>
      </c>
      <c r="I257" s="50" t="str">
        <f t="shared" si="96"/>
        <v/>
      </c>
      <c r="J257" s="49" t="str">
        <f t="shared" si="97"/>
        <v/>
      </c>
      <c r="K257" s="50" t="str">
        <f t="shared" si="98"/>
        <v/>
      </c>
      <c r="L257" s="47" t="str">
        <f t="shared" si="99"/>
        <v/>
      </c>
      <c r="M257" s="47" t="str">
        <f t="shared" si="100"/>
        <v/>
      </c>
      <c r="N257" s="47" t="str">
        <f t="shared" si="101"/>
        <v/>
      </c>
      <c r="O257" s="47" t="str">
        <f t="shared" si="102"/>
        <v/>
      </c>
      <c r="P257" s="47" t="str">
        <f t="shared" si="103"/>
        <v/>
      </c>
      <c r="S257" s="15">
        <f t="shared" si="104"/>
        <v>0</v>
      </c>
      <c r="T257" s="15">
        <f t="shared" si="105"/>
        <v>1</v>
      </c>
      <c r="U257" s="15" t="e">
        <f t="shared" si="106"/>
        <v>#VALUE!</v>
      </c>
      <c r="V257" s="15" t="e">
        <f t="shared" si="107"/>
        <v>#VALUE!</v>
      </c>
      <c r="W257" s="15" t="e">
        <f t="shared" si="108"/>
        <v>#VALUE!</v>
      </c>
    </row>
    <row r="258" spans="1:23" x14ac:dyDescent="0.2">
      <c r="A258" s="48" t="str">
        <f t="shared" si="89"/>
        <v/>
      </c>
      <c r="B258" s="2"/>
      <c r="C258" s="51"/>
      <c r="D258" s="51"/>
      <c r="E258" s="14" t="str">
        <f t="shared" si="92"/>
        <v/>
      </c>
      <c r="F258" s="47" t="str">
        <f t="shared" si="93"/>
        <v/>
      </c>
      <c r="G258" s="47" t="str">
        <f t="shared" si="94"/>
        <v/>
      </c>
      <c r="H258" s="49" t="str">
        <f t="shared" si="95"/>
        <v/>
      </c>
      <c r="I258" s="50" t="str">
        <f t="shared" si="96"/>
        <v/>
      </c>
      <c r="J258" s="49" t="str">
        <f t="shared" si="97"/>
        <v/>
      </c>
      <c r="K258" s="50" t="str">
        <f t="shared" si="98"/>
        <v/>
      </c>
      <c r="L258" s="47" t="str">
        <f t="shared" si="99"/>
        <v/>
      </c>
      <c r="M258" s="47" t="str">
        <f t="shared" si="100"/>
        <v/>
      </c>
      <c r="N258" s="47" t="str">
        <f t="shared" si="101"/>
        <v/>
      </c>
      <c r="O258" s="47" t="str">
        <f t="shared" si="102"/>
        <v/>
      </c>
      <c r="P258" s="47" t="str">
        <f t="shared" si="103"/>
        <v/>
      </c>
      <c r="S258" s="15">
        <f t="shared" si="104"/>
        <v>0</v>
      </c>
      <c r="T258" s="15">
        <f t="shared" si="105"/>
        <v>1</v>
      </c>
      <c r="U258" s="15" t="e">
        <f t="shared" si="106"/>
        <v>#VALUE!</v>
      </c>
      <c r="V258" s="15" t="e">
        <f t="shared" si="107"/>
        <v>#VALUE!</v>
      </c>
      <c r="W258" s="15" t="e">
        <f t="shared" si="108"/>
        <v>#VALUE!</v>
      </c>
    </row>
    <row r="259" spans="1:23" x14ac:dyDescent="0.2">
      <c r="A259" s="48" t="str">
        <f t="shared" si="89"/>
        <v/>
      </c>
      <c r="B259" s="2"/>
      <c r="C259" s="51"/>
      <c r="D259" s="51"/>
      <c r="E259" s="14" t="str">
        <f t="shared" si="92"/>
        <v/>
      </c>
      <c r="F259" s="47" t="str">
        <f t="shared" si="93"/>
        <v/>
      </c>
      <c r="G259" s="47" t="str">
        <f t="shared" si="94"/>
        <v/>
      </c>
      <c r="H259" s="49" t="str">
        <f t="shared" si="95"/>
        <v/>
      </c>
      <c r="I259" s="50" t="str">
        <f t="shared" si="96"/>
        <v/>
      </c>
      <c r="J259" s="49" t="str">
        <f t="shared" si="97"/>
        <v/>
      </c>
      <c r="K259" s="50" t="str">
        <f t="shared" si="98"/>
        <v/>
      </c>
      <c r="L259" s="47" t="str">
        <f t="shared" si="99"/>
        <v/>
      </c>
      <c r="M259" s="47" t="str">
        <f t="shared" si="100"/>
        <v/>
      </c>
      <c r="N259" s="47" t="str">
        <f t="shared" si="101"/>
        <v/>
      </c>
      <c r="O259" s="47" t="str">
        <f t="shared" si="102"/>
        <v/>
      </c>
      <c r="P259" s="47" t="str">
        <f t="shared" si="103"/>
        <v/>
      </c>
      <c r="S259" s="15">
        <f t="shared" si="104"/>
        <v>0</v>
      </c>
      <c r="T259" s="15">
        <f t="shared" si="105"/>
        <v>1</v>
      </c>
      <c r="U259" s="15" t="e">
        <f t="shared" si="106"/>
        <v>#VALUE!</v>
      </c>
      <c r="V259" s="15" t="e">
        <f t="shared" si="107"/>
        <v>#VALUE!</v>
      </c>
      <c r="W259" s="15" t="e">
        <f t="shared" si="108"/>
        <v>#VALUE!</v>
      </c>
    </row>
    <row r="260" spans="1:23" x14ac:dyDescent="0.2">
      <c r="A260" s="48" t="str">
        <f t="shared" si="89"/>
        <v/>
      </c>
      <c r="B260" s="2"/>
      <c r="C260" s="51"/>
      <c r="D260" s="51"/>
      <c r="E260" s="14" t="str">
        <f t="shared" si="92"/>
        <v/>
      </c>
      <c r="F260" s="47" t="str">
        <f t="shared" si="93"/>
        <v/>
      </c>
      <c r="G260" s="47" t="str">
        <f t="shared" si="94"/>
        <v/>
      </c>
      <c r="H260" s="49" t="str">
        <f t="shared" si="95"/>
        <v/>
      </c>
      <c r="I260" s="50" t="str">
        <f t="shared" si="96"/>
        <v/>
      </c>
      <c r="J260" s="49" t="str">
        <f t="shared" si="97"/>
        <v/>
      </c>
      <c r="K260" s="50" t="str">
        <f t="shared" si="98"/>
        <v/>
      </c>
      <c r="L260" s="47" t="str">
        <f t="shared" si="99"/>
        <v/>
      </c>
      <c r="M260" s="47" t="str">
        <f t="shared" si="100"/>
        <v/>
      </c>
      <c r="N260" s="47" t="str">
        <f t="shared" si="101"/>
        <v/>
      </c>
      <c r="O260" s="47" t="str">
        <f t="shared" si="102"/>
        <v/>
      </c>
      <c r="P260" s="47" t="str">
        <f t="shared" si="103"/>
        <v/>
      </c>
      <c r="S260" s="15">
        <f t="shared" si="104"/>
        <v>0</v>
      </c>
      <c r="T260" s="15">
        <f t="shared" si="105"/>
        <v>1</v>
      </c>
      <c r="U260" s="15" t="e">
        <f t="shared" si="106"/>
        <v>#VALUE!</v>
      </c>
      <c r="V260" s="15" t="e">
        <f t="shared" si="107"/>
        <v>#VALUE!</v>
      </c>
      <c r="W260" s="15" t="e">
        <f t="shared" si="108"/>
        <v>#VALUE!</v>
      </c>
    </row>
    <row r="261" spans="1:23" x14ac:dyDescent="0.2">
      <c r="A261" s="48" t="str">
        <f t="shared" si="89"/>
        <v/>
      </c>
      <c r="B261" s="2"/>
      <c r="C261" s="51"/>
      <c r="D261" s="51"/>
      <c r="E261" s="14" t="str">
        <f t="shared" si="92"/>
        <v/>
      </c>
      <c r="F261" s="47" t="str">
        <f t="shared" si="93"/>
        <v/>
      </c>
      <c r="G261" s="47" t="str">
        <f t="shared" si="94"/>
        <v/>
      </c>
      <c r="H261" s="49" t="str">
        <f t="shared" si="95"/>
        <v/>
      </c>
      <c r="I261" s="50" t="str">
        <f t="shared" si="96"/>
        <v/>
      </c>
      <c r="J261" s="49" t="str">
        <f t="shared" si="97"/>
        <v/>
      </c>
      <c r="K261" s="50" t="str">
        <f t="shared" si="98"/>
        <v/>
      </c>
      <c r="L261" s="47" t="str">
        <f t="shared" si="99"/>
        <v/>
      </c>
      <c r="M261" s="47" t="str">
        <f t="shared" si="100"/>
        <v/>
      </c>
      <c r="N261" s="47" t="str">
        <f t="shared" si="101"/>
        <v/>
      </c>
      <c r="O261" s="47" t="str">
        <f t="shared" si="102"/>
        <v/>
      </c>
      <c r="P261" s="47" t="str">
        <f t="shared" si="103"/>
        <v/>
      </c>
      <c r="S261" s="15">
        <f t="shared" si="104"/>
        <v>0</v>
      </c>
      <c r="T261" s="15">
        <f t="shared" si="105"/>
        <v>1</v>
      </c>
      <c r="U261" s="15" t="e">
        <f t="shared" si="106"/>
        <v>#VALUE!</v>
      </c>
      <c r="V261" s="15" t="e">
        <f t="shared" si="107"/>
        <v>#VALUE!</v>
      </c>
      <c r="W261" s="15" t="e">
        <f t="shared" si="108"/>
        <v>#VALUE!</v>
      </c>
    </row>
    <row r="262" spans="1:23" x14ac:dyDescent="0.2">
      <c r="A262" s="48" t="str">
        <f t="shared" si="89"/>
        <v/>
      </c>
      <c r="B262" s="2"/>
      <c r="C262" s="51"/>
      <c r="D262" s="51"/>
      <c r="E262" s="14" t="str">
        <f t="shared" si="92"/>
        <v/>
      </c>
      <c r="F262" s="47" t="str">
        <f t="shared" si="93"/>
        <v/>
      </c>
      <c r="G262" s="47" t="str">
        <f t="shared" si="94"/>
        <v/>
      </c>
      <c r="H262" s="49" t="str">
        <f t="shared" si="95"/>
        <v/>
      </c>
      <c r="I262" s="50" t="str">
        <f t="shared" si="96"/>
        <v/>
      </c>
      <c r="J262" s="49" t="str">
        <f t="shared" si="97"/>
        <v/>
      </c>
      <c r="K262" s="50" t="str">
        <f t="shared" si="98"/>
        <v/>
      </c>
      <c r="L262" s="47" t="str">
        <f t="shared" si="99"/>
        <v/>
      </c>
      <c r="M262" s="47" t="str">
        <f t="shared" si="100"/>
        <v/>
      </c>
      <c r="N262" s="47" t="str">
        <f t="shared" si="101"/>
        <v/>
      </c>
      <c r="O262" s="47" t="str">
        <f t="shared" si="102"/>
        <v/>
      </c>
      <c r="P262" s="47" t="str">
        <f t="shared" si="103"/>
        <v/>
      </c>
      <c r="S262" s="15">
        <f t="shared" si="104"/>
        <v>0</v>
      </c>
      <c r="T262" s="15">
        <f t="shared" si="105"/>
        <v>1</v>
      </c>
      <c r="U262" s="15" t="e">
        <f t="shared" si="106"/>
        <v>#VALUE!</v>
      </c>
      <c r="V262" s="15" t="e">
        <f t="shared" si="107"/>
        <v>#VALUE!</v>
      </c>
      <c r="W262" s="15" t="e">
        <f t="shared" si="108"/>
        <v>#VALUE!</v>
      </c>
    </row>
    <row r="263" spans="1:23" x14ac:dyDescent="0.2">
      <c r="A263" s="48" t="str">
        <f t="shared" si="89"/>
        <v/>
      </c>
      <c r="B263" s="2"/>
      <c r="C263" s="51"/>
      <c r="D263" s="51"/>
      <c r="E263" s="14" t="str">
        <f t="shared" si="92"/>
        <v/>
      </c>
      <c r="F263" s="47" t="str">
        <f t="shared" si="93"/>
        <v/>
      </c>
      <c r="G263" s="47" t="str">
        <f t="shared" si="94"/>
        <v/>
      </c>
      <c r="H263" s="49" t="str">
        <f t="shared" si="95"/>
        <v/>
      </c>
      <c r="I263" s="50" t="str">
        <f t="shared" si="96"/>
        <v/>
      </c>
      <c r="J263" s="49" t="str">
        <f t="shared" si="97"/>
        <v/>
      </c>
      <c r="K263" s="50" t="str">
        <f t="shared" si="98"/>
        <v/>
      </c>
      <c r="L263" s="47" t="str">
        <f t="shared" si="99"/>
        <v/>
      </c>
      <c r="M263" s="47" t="str">
        <f t="shared" si="100"/>
        <v/>
      </c>
      <c r="N263" s="47" t="str">
        <f t="shared" si="101"/>
        <v/>
      </c>
      <c r="O263" s="47" t="str">
        <f t="shared" si="102"/>
        <v/>
      </c>
      <c r="P263" s="47" t="str">
        <f t="shared" si="103"/>
        <v/>
      </c>
      <c r="S263" s="15">
        <f t="shared" si="104"/>
        <v>0</v>
      </c>
      <c r="T263" s="15">
        <f t="shared" si="105"/>
        <v>1</v>
      </c>
      <c r="U263" s="15" t="e">
        <f t="shared" si="106"/>
        <v>#VALUE!</v>
      </c>
      <c r="V263" s="15" t="e">
        <f t="shared" si="107"/>
        <v>#VALUE!</v>
      </c>
      <c r="W263" s="15" t="e">
        <f t="shared" si="108"/>
        <v>#VALUE!</v>
      </c>
    </row>
    <row r="264" spans="1:23" x14ac:dyDescent="0.2">
      <c r="A264" s="48" t="str">
        <f t="shared" si="89"/>
        <v/>
      </c>
      <c r="B264" s="2"/>
      <c r="C264" s="51"/>
      <c r="D264" s="51"/>
      <c r="E264" s="14" t="str">
        <f t="shared" si="92"/>
        <v/>
      </c>
      <c r="F264" s="47" t="str">
        <f t="shared" si="93"/>
        <v/>
      </c>
      <c r="G264" s="47" t="str">
        <f t="shared" si="94"/>
        <v/>
      </c>
      <c r="H264" s="49" t="str">
        <f t="shared" si="95"/>
        <v/>
      </c>
      <c r="I264" s="50" t="str">
        <f t="shared" si="96"/>
        <v/>
      </c>
      <c r="J264" s="49" t="str">
        <f t="shared" si="97"/>
        <v/>
      </c>
      <c r="K264" s="50" t="str">
        <f t="shared" si="98"/>
        <v/>
      </c>
      <c r="L264" s="47" t="str">
        <f t="shared" si="99"/>
        <v/>
      </c>
      <c r="M264" s="47" t="str">
        <f t="shared" si="100"/>
        <v/>
      </c>
      <c r="N264" s="47" t="str">
        <f t="shared" si="101"/>
        <v/>
      </c>
      <c r="O264" s="47" t="str">
        <f t="shared" si="102"/>
        <v/>
      </c>
      <c r="P264" s="47" t="str">
        <f t="shared" si="103"/>
        <v/>
      </c>
      <c r="S264" s="15">
        <f t="shared" si="104"/>
        <v>0</v>
      </c>
      <c r="T264" s="15">
        <f t="shared" si="105"/>
        <v>1</v>
      </c>
      <c r="U264" s="15" t="e">
        <f t="shared" si="106"/>
        <v>#VALUE!</v>
      </c>
      <c r="V264" s="15" t="e">
        <f t="shared" si="107"/>
        <v>#VALUE!</v>
      </c>
      <c r="W264" s="15" t="e">
        <f t="shared" si="108"/>
        <v>#VALUE!</v>
      </c>
    </row>
    <row r="265" spans="1:23" x14ac:dyDescent="0.2">
      <c r="A265" s="48" t="str">
        <f t="shared" si="89"/>
        <v/>
      </c>
      <c r="B265" s="2"/>
      <c r="C265" s="51"/>
      <c r="D265" s="51"/>
      <c r="E265" s="14" t="str">
        <f t="shared" si="92"/>
        <v/>
      </c>
      <c r="F265" s="47" t="str">
        <f t="shared" si="93"/>
        <v/>
      </c>
      <c r="G265" s="47" t="str">
        <f t="shared" si="94"/>
        <v/>
      </c>
      <c r="H265" s="49" t="str">
        <f t="shared" si="95"/>
        <v/>
      </c>
      <c r="I265" s="50" t="str">
        <f t="shared" si="96"/>
        <v/>
      </c>
      <c r="J265" s="49" t="str">
        <f t="shared" si="97"/>
        <v/>
      </c>
      <c r="K265" s="50" t="str">
        <f t="shared" si="98"/>
        <v/>
      </c>
      <c r="L265" s="47" t="str">
        <f t="shared" si="99"/>
        <v/>
      </c>
      <c r="M265" s="47" t="str">
        <f t="shared" si="100"/>
        <v/>
      </c>
      <c r="N265" s="47" t="str">
        <f t="shared" si="101"/>
        <v/>
      </c>
      <c r="O265" s="47" t="str">
        <f t="shared" si="102"/>
        <v/>
      </c>
      <c r="P265" s="47" t="str">
        <f t="shared" si="103"/>
        <v/>
      </c>
      <c r="S265" s="15">
        <f t="shared" si="104"/>
        <v>0</v>
      </c>
      <c r="T265" s="15">
        <f t="shared" si="105"/>
        <v>1</v>
      </c>
      <c r="U265" s="15" t="e">
        <f t="shared" si="106"/>
        <v>#VALUE!</v>
      </c>
      <c r="V265" s="15" t="e">
        <f t="shared" si="107"/>
        <v>#VALUE!</v>
      </c>
      <c r="W265" s="15" t="e">
        <f t="shared" si="108"/>
        <v>#VALUE!</v>
      </c>
    </row>
    <row r="266" spans="1:23" x14ac:dyDescent="0.2">
      <c r="A266" s="48" t="str">
        <f t="shared" si="89"/>
        <v/>
      </c>
      <c r="B266" s="2"/>
      <c r="C266" s="51"/>
      <c r="D266" s="51"/>
      <c r="E266" s="14" t="str">
        <f t="shared" si="92"/>
        <v/>
      </c>
      <c r="F266" s="47" t="str">
        <f t="shared" si="93"/>
        <v/>
      </c>
      <c r="G266" s="47" t="str">
        <f t="shared" si="94"/>
        <v/>
      </c>
      <c r="H266" s="49" t="str">
        <f t="shared" si="95"/>
        <v/>
      </c>
      <c r="I266" s="50" t="str">
        <f t="shared" si="96"/>
        <v/>
      </c>
      <c r="J266" s="49" t="str">
        <f t="shared" si="97"/>
        <v/>
      </c>
      <c r="K266" s="50" t="str">
        <f t="shared" si="98"/>
        <v/>
      </c>
      <c r="L266" s="47" t="str">
        <f t="shared" si="99"/>
        <v/>
      </c>
      <c r="M266" s="47" t="str">
        <f t="shared" si="100"/>
        <v/>
      </c>
      <c r="N266" s="47" t="str">
        <f t="shared" si="101"/>
        <v/>
      </c>
      <c r="O266" s="47" t="str">
        <f t="shared" si="102"/>
        <v/>
      </c>
      <c r="P266" s="47" t="str">
        <f t="shared" si="103"/>
        <v/>
      </c>
      <c r="S266" s="15">
        <f t="shared" si="104"/>
        <v>0</v>
      </c>
      <c r="T266" s="15">
        <f t="shared" si="105"/>
        <v>1</v>
      </c>
      <c r="U266" s="15" t="e">
        <f t="shared" si="106"/>
        <v>#VALUE!</v>
      </c>
      <c r="V266" s="15" t="e">
        <f t="shared" si="107"/>
        <v>#VALUE!</v>
      </c>
      <c r="W266" s="15" t="e">
        <f t="shared" si="108"/>
        <v>#VALUE!</v>
      </c>
    </row>
    <row r="267" spans="1:23" x14ac:dyDescent="0.2">
      <c r="A267" s="48" t="str">
        <f t="shared" si="89"/>
        <v/>
      </c>
      <c r="B267" s="2"/>
      <c r="C267" s="51"/>
      <c r="D267" s="51"/>
      <c r="E267" s="14" t="str">
        <f t="shared" si="92"/>
        <v/>
      </c>
      <c r="F267" s="47" t="str">
        <f t="shared" si="93"/>
        <v/>
      </c>
      <c r="G267" s="47" t="str">
        <f t="shared" si="94"/>
        <v/>
      </c>
      <c r="H267" s="49" t="str">
        <f t="shared" si="95"/>
        <v/>
      </c>
      <c r="I267" s="50" t="str">
        <f t="shared" si="96"/>
        <v/>
      </c>
      <c r="J267" s="49" t="str">
        <f t="shared" si="97"/>
        <v/>
      </c>
      <c r="K267" s="50" t="str">
        <f t="shared" si="98"/>
        <v/>
      </c>
      <c r="L267" s="47" t="str">
        <f t="shared" si="99"/>
        <v/>
      </c>
      <c r="M267" s="47" t="str">
        <f t="shared" si="100"/>
        <v/>
      </c>
      <c r="N267" s="47" t="str">
        <f t="shared" si="101"/>
        <v/>
      </c>
      <c r="O267" s="47" t="str">
        <f t="shared" si="102"/>
        <v/>
      </c>
      <c r="P267" s="47" t="str">
        <f t="shared" si="103"/>
        <v/>
      </c>
      <c r="S267" s="15">
        <f t="shared" si="104"/>
        <v>0</v>
      </c>
      <c r="T267" s="15">
        <f t="shared" si="105"/>
        <v>1</v>
      </c>
      <c r="U267" s="15" t="e">
        <f t="shared" si="106"/>
        <v>#VALUE!</v>
      </c>
      <c r="V267" s="15" t="e">
        <f t="shared" si="107"/>
        <v>#VALUE!</v>
      </c>
      <c r="W267" s="15" t="e">
        <f t="shared" si="108"/>
        <v>#VALUE!</v>
      </c>
    </row>
    <row r="268" spans="1:23" x14ac:dyDescent="0.2">
      <c r="A268" s="48" t="str">
        <f t="shared" si="89"/>
        <v/>
      </c>
      <c r="B268" s="2"/>
      <c r="C268" s="51"/>
      <c r="D268" s="51"/>
      <c r="E268" s="14" t="str">
        <f t="shared" si="92"/>
        <v/>
      </c>
      <c r="F268" s="47" t="str">
        <f t="shared" si="93"/>
        <v/>
      </c>
      <c r="G268" s="47" t="str">
        <f t="shared" si="94"/>
        <v/>
      </c>
      <c r="H268" s="49" t="str">
        <f t="shared" si="95"/>
        <v/>
      </c>
      <c r="I268" s="50" t="str">
        <f t="shared" si="96"/>
        <v/>
      </c>
      <c r="J268" s="49" t="str">
        <f t="shared" si="97"/>
        <v/>
      </c>
      <c r="K268" s="50" t="str">
        <f t="shared" si="98"/>
        <v/>
      </c>
      <c r="L268" s="47" t="str">
        <f t="shared" si="99"/>
        <v/>
      </c>
      <c r="M268" s="47" t="str">
        <f t="shared" si="100"/>
        <v/>
      </c>
      <c r="N268" s="47" t="str">
        <f t="shared" si="101"/>
        <v/>
      </c>
      <c r="O268" s="47" t="str">
        <f t="shared" si="102"/>
        <v/>
      </c>
      <c r="P268" s="47" t="str">
        <f t="shared" si="103"/>
        <v/>
      </c>
      <c r="S268" s="15">
        <f t="shared" si="104"/>
        <v>0</v>
      </c>
      <c r="T268" s="15">
        <f t="shared" si="105"/>
        <v>1</v>
      </c>
      <c r="U268" s="15" t="e">
        <f t="shared" si="106"/>
        <v>#VALUE!</v>
      </c>
      <c r="V268" s="15" t="e">
        <f t="shared" si="107"/>
        <v>#VALUE!</v>
      </c>
      <c r="W268" s="15" t="e">
        <f t="shared" si="108"/>
        <v>#VALUE!</v>
      </c>
    </row>
    <row r="269" spans="1:23" x14ac:dyDescent="0.2">
      <c r="A269" s="48" t="str">
        <f t="shared" ref="A269:A332" si="109">IF(B269="","",IF(AND(B269&lt;&gt;"",B270=""),"Proj.",A268+1))</f>
        <v/>
      </c>
      <c r="B269" s="2"/>
      <c r="C269" s="51"/>
      <c r="D269" s="51"/>
      <c r="E269" s="14" t="str">
        <f t="shared" si="92"/>
        <v/>
      </c>
      <c r="F269" s="47" t="str">
        <f t="shared" si="93"/>
        <v/>
      </c>
      <c r="G269" s="47" t="str">
        <f t="shared" si="94"/>
        <v/>
      </c>
      <c r="H269" s="49" t="str">
        <f t="shared" si="95"/>
        <v/>
      </c>
      <c r="I269" s="50" t="str">
        <f t="shared" si="96"/>
        <v/>
      </c>
      <c r="J269" s="49" t="str">
        <f t="shared" si="97"/>
        <v/>
      </c>
      <c r="K269" s="50" t="str">
        <f t="shared" si="98"/>
        <v/>
      </c>
      <c r="L269" s="47" t="str">
        <f t="shared" si="99"/>
        <v/>
      </c>
      <c r="M269" s="47" t="str">
        <f t="shared" si="100"/>
        <v/>
      </c>
      <c r="N269" s="47" t="str">
        <f t="shared" si="101"/>
        <v/>
      </c>
      <c r="O269" s="47" t="str">
        <f t="shared" si="102"/>
        <v/>
      </c>
      <c r="P269" s="47" t="str">
        <f t="shared" si="103"/>
        <v/>
      </c>
      <c r="S269" s="15">
        <f t="shared" si="104"/>
        <v>0</v>
      </c>
      <c r="T269" s="15">
        <f t="shared" si="105"/>
        <v>1</v>
      </c>
      <c r="U269" s="15" t="e">
        <f t="shared" si="106"/>
        <v>#VALUE!</v>
      </c>
      <c r="V269" s="15" t="e">
        <f t="shared" si="107"/>
        <v>#VALUE!</v>
      </c>
      <c r="W269" s="15" t="e">
        <f t="shared" si="108"/>
        <v>#VALUE!</v>
      </c>
    </row>
    <row r="270" spans="1:23" x14ac:dyDescent="0.2">
      <c r="A270" s="48" t="str">
        <f t="shared" si="109"/>
        <v/>
      </c>
      <c r="B270" s="2"/>
      <c r="C270" s="51"/>
      <c r="D270" s="51"/>
      <c r="E270" s="14" t="str">
        <f t="shared" si="92"/>
        <v/>
      </c>
      <c r="F270" s="47" t="str">
        <f t="shared" si="93"/>
        <v/>
      </c>
      <c r="G270" s="47" t="str">
        <f t="shared" si="94"/>
        <v/>
      </c>
      <c r="H270" s="49" t="str">
        <f t="shared" si="95"/>
        <v/>
      </c>
      <c r="I270" s="50" t="str">
        <f t="shared" si="96"/>
        <v/>
      </c>
      <c r="J270" s="49" t="str">
        <f t="shared" si="97"/>
        <v/>
      </c>
      <c r="K270" s="50" t="str">
        <f t="shared" si="98"/>
        <v/>
      </c>
      <c r="L270" s="47" t="str">
        <f t="shared" si="99"/>
        <v/>
      </c>
      <c r="M270" s="47" t="str">
        <f t="shared" si="100"/>
        <v/>
      </c>
      <c r="N270" s="47" t="str">
        <f t="shared" si="101"/>
        <v/>
      </c>
      <c r="O270" s="47" t="str">
        <f t="shared" si="102"/>
        <v/>
      </c>
      <c r="P270" s="47" t="str">
        <f t="shared" si="103"/>
        <v/>
      </c>
      <c r="S270" s="15">
        <f t="shared" si="104"/>
        <v>0</v>
      </c>
      <c r="T270" s="15">
        <f t="shared" si="105"/>
        <v>1</v>
      </c>
      <c r="U270" s="15" t="e">
        <f t="shared" si="106"/>
        <v>#VALUE!</v>
      </c>
      <c r="V270" s="15" t="e">
        <f t="shared" si="107"/>
        <v>#VALUE!</v>
      </c>
      <c r="W270" s="15" t="e">
        <f t="shared" si="108"/>
        <v>#VALUE!</v>
      </c>
    </row>
    <row r="271" spans="1:23" x14ac:dyDescent="0.2">
      <c r="A271" s="48" t="str">
        <f t="shared" si="109"/>
        <v/>
      </c>
      <c r="B271" s="2"/>
      <c r="C271" s="51"/>
      <c r="D271" s="51"/>
      <c r="E271" s="14" t="str">
        <f t="shared" si="92"/>
        <v/>
      </c>
      <c r="F271" s="47" t="str">
        <f t="shared" si="93"/>
        <v/>
      </c>
      <c r="G271" s="47" t="str">
        <f t="shared" si="94"/>
        <v/>
      </c>
      <c r="H271" s="49" t="str">
        <f t="shared" si="95"/>
        <v/>
      </c>
      <c r="I271" s="50" t="str">
        <f t="shared" si="96"/>
        <v/>
      </c>
      <c r="J271" s="49" t="str">
        <f t="shared" si="97"/>
        <v/>
      </c>
      <c r="K271" s="50" t="str">
        <f t="shared" si="98"/>
        <v/>
      </c>
      <c r="L271" s="47" t="str">
        <f t="shared" si="99"/>
        <v/>
      </c>
      <c r="M271" s="47" t="str">
        <f t="shared" si="100"/>
        <v/>
      </c>
      <c r="N271" s="47" t="str">
        <f t="shared" si="101"/>
        <v/>
      </c>
      <c r="O271" s="47" t="str">
        <f t="shared" si="102"/>
        <v/>
      </c>
      <c r="P271" s="47" t="str">
        <f t="shared" si="103"/>
        <v/>
      </c>
      <c r="S271" s="15">
        <f t="shared" si="104"/>
        <v>0</v>
      </c>
      <c r="T271" s="15">
        <f t="shared" si="105"/>
        <v>1</v>
      </c>
      <c r="U271" s="15" t="e">
        <f t="shared" si="106"/>
        <v>#VALUE!</v>
      </c>
      <c r="V271" s="15" t="e">
        <f t="shared" si="107"/>
        <v>#VALUE!</v>
      </c>
      <c r="W271" s="15" t="e">
        <f t="shared" si="108"/>
        <v>#VALUE!</v>
      </c>
    </row>
    <row r="272" spans="1:23" x14ac:dyDescent="0.2">
      <c r="A272" s="48" t="str">
        <f t="shared" si="109"/>
        <v/>
      </c>
      <c r="B272" s="2"/>
      <c r="C272" s="51"/>
      <c r="D272" s="51"/>
      <c r="E272" s="14" t="str">
        <f t="shared" si="92"/>
        <v/>
      </c>
      <c r="F272" s="47" t="str">
        <f t="shared" si="93"/>
        <v/>
      </c>
      <c r="G272" s="47" t="str">
        <f t="shared" si="94"/>
        <v/>
      </c>
      <c r="H272" s="49" t="str">
        <f t="shared" si="95"/>
        <v/>
      </c>
      <c r="I272" s="50" t="str">
        <f t="shared" si="96"/>
        <v/>
      </c>
      <c r="J272" s="49" t="str">
        <f t="shared" si="97"/>
        <v/>
      </c>
      <c r="K272" s="50" t="str">
        <f t="shared" si="98"/>
        <v/>
      </c>
      <c r="L272" s="47" t="str">
        <f t="shared" si="99"/>
        <v/>
      </c>
      <c r="M272" s="47" t="str">
        <f t="shared" si="100"/>
        <v/>
      </c>
      <c r="N272" s="47" t="str">
        <f t="shared" si="101"/>
        <v/>
      </c>
      <c r="O272" s="47" t="str">
        <f t="shared" si="102"/>
        <v/>
      </c>
      <c r="P272" s="47" t="str">
        <f t="shared" si="103"/>
        <v/>
      </c>
      <c r="S272" s="15">
        <f t="shared" si="104"/>
        <v>0</v>
      </c>
      <c r="T272" s="15">
        <f t="shared" si="105"/>
        <v>1</v>
      </c>
      <c r="U272" s="15" t="e">
        <f t="shared" si="106"/>
        <v>#VALUE!</v>
      </c>
      <c r="V272" s="15" t="e">
        <f t="shared" si="107"/>
        <v>#VALUE!</v>
      </c>
      <c r="W272" s="15" t="e">
        <f t="shared" si="108"/>
        <v>#VALUE!</v>
      </c>
    </row>
    <row r="273" spans="1:23" x14ac:dyDescent="0.2">
      <c r="A273" s="48" t="str">
        <f t="shared" si="109"/>
        <v/>
      </c>
      <c r="B273" s="2"/>
      <c r="C273" s="51"/>
      <c r="D273" s="51"/>
      <c r="E273" s="14" t="str">
        <f t="shared" si="92"/>
        <v/>
      </c>
      <c r="F273" s="47" t="str">
        <f t="shared" si="93"/>
        <v/>
      </c>
      <c r="G273" s="47" t="str">
        <f t="shared" si="94"/>
        <v/>
      </c>
      <c r="H273" s="49" t="str">
        <f t="shared" si="95"/>
        <v/>
      </c>
      <c r="I273" s="50" t="str">
        <f t="shared" si="96"/>
        <v/>
      </c>
      <c r="J273" s="49" t="str">
        <f t="shared" si="97"/>
        <v/>
      </c>
      <c r="K273" s="50" t="str">
        <f t="shared" si="98"/>
        <v/>
      </c>
      <c r="L273" s="47" t="str">
        <f t="shared" si="99"/>
        <v/>
      </c>
      <c r="M273" s="47" t="str">
        <f t="shared" si="100"/>
        <v/>
      </c>
      <c r="N273" s="47" t="str">
        <f t="shared" si="101"/>
        <v/>
      </c>
      <c r="O273" s="47" t="str">
        <f t="shared" si="102"/>
        <v/>
      </c>
      <c r="P273" s="47" t="str">
        <f t="shared" si="103"/>
        <v/>
      </c>
      <c r="S273" s="15">
        <f t="shared" si="104"/>
        <v>0</v>
      </c>
      <c r="T273" s="15">
        <f t="shared" si="105"/>
        <v>1</v>
      </c>
      <c r="U273" s="15" t="e">
        <f t="shared" si="106"/>
        <v>#VALUE!</v>
      </c>
      <c r="V273" s="15" t="e">
        <f t="shared" si="107"/>
        <v>#VALUE!</v>
      </c>
      <c r="W273" s="15" t="e">
        <f t="shared" si="108"/>
        <v>#VALUE!</v>
      </c>
    </row>
    <row r="274" spans="1:23" x14ac:dyDescent="0.2">
      <c r="A274" s="48" t="str">
        <f t="shared" si="109"/>
        <v/>
      </c>
      <c r="B274" s="2"/>
      <c r="C274" s="51"/>
      <c r="D274" s="51"/>
      <c r="E274" s="14" t="str">
        <f t="shared" si="92"/>
        <v/>
      </c>
      <c r="F274" s="47" t="str">
        <f t="shared" si="93"/>
        <v/>
      </c>
      <c r="G274" s="47" t="str">
        <f t="shared" si="94"/>
        <v/>
      </c>
      <c r="H274" s="49" t="str">
        <f t="shared" si="95"/>
        <v/>
      </c>
      <c r="I274" s="50" t="str">
        <f t="shared" si="96"/>
        <v/>
      </c>
      <c r="J274" s="49" t="str">
        <f t="shared" si="97"/>
        <v/>
      </c>
      <c r="K274" s="50" t="str">
        <f t="shared" si="98"/>
        <v/>
      </c>
      <c r="L274" s="47" t="str">
        <f t="shared" si="99"/>
        <v/>
      </c>
      <c r="M274" s="47" t="str">
        <f t="shared" si="100"/>
        <v/>
      </c>
      <c r="N274" s="47" t="str">
        <f t="shared" si="101"/>
        <v/>
      </c>
      <c r="O274" s="47" t="str">
        <f t="shared" si="102"/>
        <v/>
      </c>
      <c r="P274" s="47" t="str">
        <f t="shared" si="103"/>
        <v/>
      </c>
      <c r="S274" s="15">
        <f t="shared" si="104"/>
        <v>0</v>
      </c>
      <c r="T274" s="15">
        <f t="shared" si="105"/>
        <v>1</v>
      </c>
      <c r="U274" s="15" t="e">
        <f t="shared" si="106"/>
        <v>#VALUE!</v>
      </c>
      <c r="V274" s="15" t="e">
        <f t="shared" si="107"/>
        <v>#VALUE!</v>
      </c>
      <c r="W274" s="15" t="e">
        <f t="shared" si="108"/>
        <v>#VALUE!</v>
      </c>
    </row>
    <row r="275" spans="1:23" x14ac:dyDescent="0.2">
      <c r="A275" s="48" t="str">
        <f t="shared" si="109"/>
        <v/>
      </c>
      <c r="B275" s="2"/>
      <c r="C275" s="51"/>
      <c r="D275" s="51"/>
      <c r="E275" s="14" t="str">
        <f t="shared" si="92"/>
        <v/>
      </c>
      <c r="F275" s="47" t="str">
        <f t="shared" si="93"/>
        <v/>
      </c>
      <c r="G275" s="47" t="str">
        <f t="shared" si="94"/>
        <v/>
      </c>
      <c r="H275" s="49" t="str">
        <f t="shared" si="95"/>
        <v/>
      </c>
      <c r="I275" s="50" t="str">
        <f t="shared" si="96"/>
        <v/>
      </c>
      <c r="J275" s="49" t="str">
        <f t="shared" si="97"/>
        <v/>
      </c>
      <c r="K275" s="50" t="str">
        <f t="shared" si="98"/>
        <v/>
      </c>
      <c r="L275" s="47" t="str">
        <f t="shared" si="99"/>
        <v/>
      </c>
      <c r="M275" s="47" t="str">
        <f t="shared" si="100"/>
        <v/>
      </c>
      <c r="N275" s="47" t="str">
        <f t="shared" si="101"/>
        <v/>
      </c>
      <c r="O275" s="47" t="str">
        <f t="shared" si="102"/>
        <v/>
      </c>
      <c r="P275" s="47" t="str">
        <f t="shared" si="103"/>
        <v/>
      </c>
      <c r="S275" s="15">
        <f t="shared" si="104"/>
        <v>0</v>
      </c>
      <c r="T275" s="15">
        <f t="shared" si="105"/>
        <v>1</v>
      </c>
      <c r="U275" s="15" t="e">
        <f t="shared" si="106"/>
        <v>#VALUE!</v>
      </c>
      <c r="V275" s="15" t="e">
        <f t="shared" si="107"/>
        <v>#VALUE!</v>
      </c>
      <c r="W275" s="15" t="e">
        <f t="shared" si="108"/>
        <v>#VALUE!</v>
      </c>
    </row>
    <row r="276" spans="1:23" x14ac:dyDescent="0.2">
      <c r="A276" s="48" t="str">
        <f t="shared" si="109"/>
        <v/>
      </c>
      <c r="B276" s="2"/>
      <c r="C276" s="51"/>
      <c r="D276" s="51"/>
      <c r="E276" s="14" t="str">
        <f t="shared" si="92"/>
        <v/>
      </c>
      <c r="F276" s="47" t="str">
        <f t="shared" si="93"/>
        <v/>
      </c>
      <c r="G276" s="47" t="str">
        <f t="shared" si="94"/>
        <v/>
      </c>
      <c r="H276" s="49" t="str">
        <f t="shared" si="95"/>
        <v/>
      </c>
      <c r="I276" s="50" t="str">
        <f t="shared" si="96"/>
        <v/>
      </c>
      <c r="J276" s="49" t="str">
        <f t="shared" si="97"/>
        <v/>
      </c>
      <c r="K276" s="50" t="str">
        <f t="shared" si="98"/>
        <v/>
      </c>
      <c r="L276" s="47" t="str">
        <f t="shared" si="99"/>
        <v/>
      </c>
      <c r="M276" s="47" t="str">
        <f t="shared" si="100"/>
        <v/>
      </c>
      <c r="N276" s="47" t="str">
        <f t="shared" si="101"/>
        <v/>
      </c>
      <c r="O276" s="47" t="str">
        <f t="shared" si="102"/>
        <v/>
      </c>
      <c r="P276" s="47" t="str">
        <f t="shared" si="103"/>
        <v/>
      </c>
      <c r="S276" s="15">
        <f t="shared" si="104"/>
        <v>0</v>
      </c>
      <c r="T276" s="15">
        <f t="shared" si="105"/>
        <v>1</v>
      </c>
      <c r="U276" s="15" t="e">
        <f t="shared" si="106"/>
        <v>#VALUE!</v>
      </c>
      <c r="V276" s="15" t="e">
        <f t="shared" si="107"/>
        <v>#VALUE!</v>
      </c>
      <c r="W276" s="15" t="e">
        <f t="shared" si="108"/>
        <v>#VALUE!</v>
      </c>
    </row>
    <row r="277" spans="1:23" x14ac:dyDescent="0.2">
      <c r="A277" s="48" t="str">
        <f t="shared" si="109"/>
        <v/>
      </c>
      <c r="B277" s="2"/>
      <c r="C277" s="51"/>
      <c r="D277" s="51"/>
      <c r="E277" s="14" t="str">
        <f t="shared" si="92"/>
        <v/>
      </c>
      <c r="F277" s="47" t="str">
        <f t="shared" si="93"/>
        <v/>
      </c>
      <c r="G277" s="47" t="str">
        <f t="shared" si="94"/>
        <v/>
      </c>
      <c r="H277" s="49" t="str">
        <f t="shared" si="95"/>
        <v/>
      </c>
      <c r="I277" s="50" t="str">
        <f t="shared" si="96"/>
        <v/>
      </c>
      <c r="J277" s="49" t="str">
        <f t="shared" si="97"/>
        <v/>
      </c>
      <c r="K277" s="50" t="str">
        <f t="shared" si="98"/>
        <v/>
      </c>
      <c r="L277" s="47" t="str">
        <f t="shared" si="99"/>
        <v/>
      </c>
      <c r="M277" s="47" t="str">
        <f t="shared" si="100"/>
        <v/>
      </c>
      <c r="N277" s="47" t="str">
        <f t="shared" si="101"/>
        <v/>
      </c>
      <c r="O277" s="47" t="str">
        <f t="shared" si="102"/>
        <v/>
      </c>
      <c r="P277" s="47" t="str">
        <f t="shared" si="103"/>
        <v/>
      </c>
      <c r="S277" s="15">
        <f t="shared" si="104"/>
        <v>0</v>
      </c>
      <c r="T277" s="15">
        <f t="shared" si="105"/>
        <v>1</v>
      </c>
      <c r="U277" s="15" t="e">
        <f t="shared" si="106"/>
        <v>#VALUE!</v>
      </c>
      <c r="V277" s="15" t="e">
        <f t="shared" si="107"/>
        <v>#VALUE!</v>
      </c>
      <c r="W277" s="15" t="e">
        <f t="shared" si="108"/>
        <v>#VALUE!</v>
      </c>
    </row>
    <row r="278" spans="1:23" x14ac:dyDescent="0.2">
      <c r="A278" s="48" t="str">
        <f t="shared" si="109"/>
        <v/>
      </c>
      <c r="B278" s="2"/>
      <c r="C278" s="51"/>
      <c r="D278" s="51"/>
      <c r="E278" s="14" t="str">
        <f t="shared" si="92"/>
        <v/>
      </c>
      <c r="F278" s="47" t="str">
        <f t="shared" si="93"/>
        <v/>
      </c>
      <c r="G278" s="47" t="str">
        <f t="shared" si="94"/>
        <v/>
      </c>
      <c r="H278" s="49" t="str">
        <f t="shared" si="95"/>
        <v/>
      </c>
      <c r="I278" s="50" t="str">
        <f t="shared" si="96"/>
        <v/>
      </c>
      <c r="J278" s="49" t="str">
        <f t="shared" si="97"/>
        <v/>
      </c>
      <c r="K278" s="50" t="str">
        <f t="shared" si="98"/>
        <v/>
      </c>
      <c r="L278" s="47" t="str">
        <f t="shared" si="99"/>
        <v/>
      </c>
      <c r="M278" s="47" t="str">
        <f t="shared" si="100"/>
        <v/>
      </c>
      <c r="N278" s="47" t="str">
        <f t="shared" si="101"/>
        <v/>
      </c>
      <c r="O278" s="47" t="str">
        <f t="shared" si="102"/>
        <v/>
      </c>
      <c r="P278" s="47" t="str">
        <f t="shared" si="103"/>
        <v/>
      </c>
      <c r="S278" s="15">
        <f t="shared" si="104"/>
        <v>0</v>
      </c>
      <c r="T278" s="15">
        <f t="shared" si="105"/>
        <v>1</v>
      </c>
      <c r="U278" s="15" t="e">
        <f t="shared" si="106"/>
        <v>#VALUE!</v>
      </c>
      <c r="V278" s="15" t="e">
        <f t="shared" si="107"/>
        <v>#VALUE!</v>
      </c>
      <c r="W278" s="15" t="e">
        <f t="shared" si="108"/>
        <v>#VALUE!</v>
      </c>
    </row>
    <row r="279" spans="1:23" x14ac:dyDescent="0.2">
      <c r="A279" s="48" t="str">
        <f t="shared" si="109"/>
        <v/>
      </c>
      <c r="B279" s="2"/>
      <c r="C279" s="51"/>
      <c r="D279" s="51"/>
      <c r="E279" s="14" t="str">
        <f t="shared" si="92"/>
        <v/>
      </c>
      <c r="F279" s="47" t="str">
        <f t="shared" si="93"/>
        <v/>
      </c>
      <c r="G279" s="47" t="str">
        <f t="shared" si="94"/>
        <v/>
      </c>
      <c r="H279" s="49" t="str">
        <f t="shared" si="95"/>
        <v/>
      </c>
      <c r="I279" s="50" t="str">
        <f t="shared" si="96"/>
        <v/>
      </c>
      <c r="J279" s="49" t="str">
        <f t="shared" si="97"/>
        <v/>
      </c>
      <c r="K279" s="50" t="str">
        <f t="shared" si="98"/>
        <v/>
      </c>
      <c r="L279" s="47" t="str">
        <f t="shared" si="99"/>
        <v/>
      </c>
      <c r="M279" s="47" t="str">
        <f t="shared" si="100"/>
        <v/>
      </c>
      <c r="N279" s="47" t="str">
        <f t="shared" si="101"/>
        <v/>
      </c>
      <c r="O279" s="47" t="str">
        <f t="shared" si="102"/>
        <v/>
      </c>
      <c r="P279" s="47" t="str">
        <f t="shared" si="103"/>
        <v/>
      </c>
      <c r="S279" s="15">
        <f t="shared" si="104"/>
        <v>0</v>
      </c>
      <c r="T279" s="15">
        <f t="shared" si="105"/>
        <v>1</v>
      </c>
      <c r="U279" s="15" t="e">
        <f t="shared" si="106"/>
        <v>#VALUE!</v>
      </c>
      <c r="V279" s="15" t="e">
        <f t="shared" si="107"/>
        <v>#VALUE!</v>
      </c>
      <c r="W279" s="15" t="e">
        <f t="shared" si="108"/>
        <v>#VALUE!</v>
      </c>
    </row>
    <row r="280" spans="1:23" x14ac:dyDescent="0.2">
      <c r="A280" s="48" t="str">
        <f t="shared" si="109"/>
        <v/>
      </c>
      <c r="B280" s="2"/>
      <c r="C280" s="51"/>
      <c r="D280" s="51"/>
      <c r="E280" s="14" t="str">
        <f t="shared" si="92"/>
        <v/>
      </c>
      <c r="F280" s="47" t="str">
        <f t="shared" si="93"/>
        <v/>
      </c>
      <c r="G280" s="47" t="str">
        <f t="shared" si="94"/>
        <v/>
      </c>
      <c r="H280" s="49" t="str">
        <f t="shared" si="95"/>
        <v/>
      </c>
      <c r="I280" s="50" t="str">
        <f t="shared" si="96"/>
        <v/>
      </c>
      <c r="J280" s="49" t="str">
        <f t="shared" si="97"/>
        <v/>
      </c>
      <c r="K280" s="50" t="str">
        <f t="shared" si="98"/>
        <v/>
      </c>
      <c r="L280" s="47" t="str">
        <f t="shared" si="99"/>
        <v/>
      </c>
      <c r="M280" s="47" t="str">
        <f t="shared" si="100"/>
        <v/>
      </c>
      <c r="N280" s="47" t="str">
        <f t="shared" si="101"/>
        <v/>
      </c>
      <c r="O280" s="47" t="str">
        <f t="shared" si="102"/>
        <v/>
      </c>
      <c r="P280" s="47" t="str">
        <f t="shared" si="103"/>
        <v/>
      </c>
      <c r="S280" s="15">
        <f t="shared" si="104"/>
        <v>0</v>
      </c>
      <c r="T280" s="15">
        <f t="shared" si="105"/>
        <v>1</v>
      </c>
      <c r="U280" s="15" t="e">
        <f t="shared" si="106"/>
        <v>#VALUE!</v>
      </c>
      <c r="V280" s="15" t="e">
        <f t="shared" si="107"/>
        <v>#VALUE!</v>
      </c>
      <c r="W280" s="15" t="e">
        <f t="shared" si="108"/>
        <v>#VALUE!</v>
      </c>
    </row>
    <row r="281" spans="1:23" x14ac:dyDescent="0.2">
      <c r="A281" s="48" t="str">
        <f t="shared" si="109"/>
        <v/>
      </c>
      <c r="B281" s="2"/>
      <c r="C281" s="51"/>
      <c r="D281" s="51"/>
      <c r="E281" s="14" t="str">
        <f t="shared" si="92"/>
        <v/>
      </c>
      <c r="F281" s="47" t="str">
        <f t="shared" si="93"/>
        <v/>
      </c>
      <c r="G281" s="47" t="str">
        <f t="shared" si="94"/>
        <v/>
      </c>
      <c r="H281" s="49" t="str">
        <f t="shared" si="95"/>
        <v/>
      </c>
      <c r="I281" s="50" t="str">
        <f t="shared" si="96"/>
        <v/>
      </c>
      <c r="J281" s="49" t="str">
        <f t="shared" si="97"/>
        <v/>
      </c>
      <c r="K281" s="50" t="str">
        <f t="shared" si="98"/>
        <v/>
      </c>
      <c r="L281" s="47" t="str">
        <f t="shared" si="99"/>
        <v/>
      </c>
      <c r="M281" s="47" t="str">
        <f t="shared" si="100"/>
        <v/>
      </c>
      <c r="N281" s="47" t="str">
        <f t="shared" si="101"/>
        <v/>
      </c>
      <c r="O281" s="47" t="str">
        <f t="shared" si="102"/>
        <v/>
      </c>
      <c r="P281" s="47" t="str">
        <f t="shared" si="103"/>
        <v/>
      </c>
      <c r="S281" s="15">
        <f t="shared" si="104"/>
        <v>0</v>
      </c>
      <c r="T281" s="15">
        <f t="shared" si="105"/>
        <v>1</v>
      </c>
      <c r="U281" s="15" t="e">
        <f t="shared" si="106"/>
        <v>#VALUE!</v>
      </c>
      <c r="V281" s="15" t="e">
        <f t="shared" si="107"/>
        <v>#VALUE!</v>
      </c>
      <c r="W281" s="15" t="e">
        <f t="shared" si="108"/>
        <v>#VALUE!</v>
      </c>
    </row>
    <row r="282" spans="1:23" x14ac:dyDescent="0.2">
      <c r="A282" s="48" t="str">
        <f t="shared" si="109"/>
        <v/>
      </c>
      <c r="B282" s="2"/>
      <c r="C282" s="51"/>
      <c r="D282" s="51"/>
      <c r="E282" s="14" t="str">
        <f t="shared" si="92"/>
        <v/>
      </c>
      <c r="F282" s="47" t="str">
        <f t="shared" si="93"/>
        <v/>
      </c>
      <c r="G282" s="47" t="str">
        <f t="shared" si="94"/>
        <v/>
      </c>
      <c r="H282" s="49" t="str">
        <f t="shared" si="95"/>
        <v/>
      </c>
      <c r="I282" s="50" t="str">
        <f t="shared" si="96"/>
        <v/>
      </c>
      <c r="J282" s="49" t="str">
        <f t="shared" si="97"/>
        <v/>
      </c>
      <c r="K282" s="50" t="str">
        <f t="shared" si="98"/>
        <v/>
      </c>
      <c r="L282" s="47" t="str">
        <f t="shared" si="99"/>
        <v/>
      </c>
      <c r="M282" s="47" t="str">
        <f t="shared" si="100"/>
        <v/>
      </c>
      <c r="N282" s="47" t="str">
        <f t="shared" si="101"/>
        <v/>
      </c>
      <c r="O282" s="47" t="str">
        <f t="shared" si="102"/>
        <v/>
      </c>
      <c r="P282" s="47" t="str">
        <f t="shared" si="103"/>
        <v/>
      </c>
      <c r="S282" s="15">
        <f t="shared" si="104"/>
        <v>0</v>
      </c>
      <c r="T282" s="15">
        <f t="shared" si="105"/>
        <v>1</v>
      </c>
      <c r="U282" s="15" t="e">
        <f t="shared" si="106"/>
        <v>#VALUE!</v>
      </c>
      <c r="V282" s="15" t="e">
        <f t="shared" si="107"/>
        <v>#VALUE!</v>
      </c>
      <c r="W282" s="15" t="e">
        <f t="shared" si="108"/>
        <v>#VALUE!</v>
      </c>
    </row>
    <row r="283" spans="1:23" x14ac:dyDescent="0.2">
      <c r="A283" s="48" t="str">
        <f t="shared" si="109"/>
        <v/>
      </c>
      <c r="B283" s="2"/>
      <c r="C283" s="51"/>
      <c r="D283" s="51"/>
      <c r="E283" s="14" t="str">
        <f t="shared" si="92"/>
        <v/>
      </c>
      <c r="F283" s="47" t="str">
        <f t="shared" si="93"/>
        <v/>
      </c>
      <c r="G283" s="47" t="str">
        <f t="shared" si="94"/>
        <v/>
      </c>
      <c r="H283" s="49" t="str">
        <f t="shared" si="95"/>
        <v/>
      </c>
      <c r="I283" s="50" t="str">
        <f t="shared" si="96"/>
        <v/>
      </c>
      <c r="J283" s="49" t="str">
        <f t="shared" si="97"/>
        <v/>
      </c>
      <c r="K283" s="50" t="str">
        <f t="shared" si="98"/>
        <v/>
      </c>
      <c r="L283" s="47" t="str">
        <f t="shared" si="99"/>
        <v/>
      </c>
      <c r="M283" s="47" t="str">
        <f t="shared" si="100"/>
        <v/>
      </c>
      <c r="N283" s="47" t="str">
        <f t="shared" si="101"/>
        <v/>
      </c>
      <c r="O283" s="47" t="str">
        <f t="shared" si="102"/>
        <v/>
      </c>
      <c r="P283" s="47" t="str">
        <f t="shared" si="103"/>
        <v/>
      </c>
      <c r="S283" s="15">
        <f t="shared" si="104"/>
        <v>0</v>
      </c>
      <c r="T283" s="15">
        <f t="shared" si="105"/>
        <v>1</v>
      </c>
      <c r="U283" s="15" t="e">
        <f t="shared" si="106"/>
        <v>#VALUE!</v>
      </c>
      <c r="V283" s="15" t="e">
        <f t="shared" si="107"/>
        <v>#VALUE!</v>
      </c>
      <c r="W283" s="15" t="e">
        <f t="shared" si="108"/>
        <v>#VALUE!</v>
      </c>
    </row>
    <row r="284" spans="1:23" x14ac:dyDescent="0.2">
      <c r="A284" s="48" t="str">
        <f t="shared" si="109"/>
        <v/>
      </c>
      <c r="B284" s="2"/>
      <c r="C284" s="51"/>
      <c r="D284" s="51"/>
      <c r="E284" s="14" t="str">
        <f t="shared" si="92"/>
        <v/>
      </c>
      <c r="F284" s="47" t="str">
        <f t="shared" si="93"/>
        <v/>
      </c>
      <c r="G284" s="47" t="str">
        <f t="shared" si="94"/>
        <v/>
      </c>
      <c r="H284" s="49" t="str">
        <f t="shared" si="95"/>
        <v/>
      </c>
      <c r="I284" s="50" t="str">
        <f t="shared" si="96"/>
        <v/>
      </c>
      <c r="J284" s="49" t="str">
        <f t="shared" si="97"/>
        <v/>
      </c>
      <c r="K284" s="50" t="str">
        <f t="shared" si="98"/>
        <v/>
      </c>
      <c r="L284" s="47" t="str">
        <f t="shared" si="99"/>
        <v/>
      </c>
      <c r="M284" s="47" t="str">
        <f t="shared" si="100"/>
        <v/>
      </c>
      <c r="N284" s="47" t="str">
        <f t="shared" si="101"/>
        <v/>
      </c>
      <c r="O284" s="47" t="str">
        <f t="shared" si="102"/>
        <v/>
      </c>
      <c r="P284" s="47" t="str">
        <f t="shared" si="103"/>
        <v/>
      </c>
      <c r="S284" s="15">
        <f t="shared" si="104"/>
        <v>0</v>
      </c>
      <c r="T284" s="15">
        <f t="shared" si="105"/>
        <v>1</v>
      </c>
      <c r="U284" s="15" t="e">
        <f t="shared" si="106"/>
        <v>#VALUE!</v>
      </c>
      <c r="V284" s="15" t="e">
        <f t="shared" si="107"/>
        <v>#VALUE!</v>
      </c>
      <c r="W284" s="15" t="e">
        <f t="shared" si="108"/>
        <v>#VALUE!</v>
      </c>
    </row>
    <row r="285" spans="1:23" x14ac:dyDescent="0.2">
      <c r="A285" s="48" t="str">
        <f t="shared" si="109"/>
        <v/>
      </c>
      <c r="B285" s="2"/>
      <c r="C285" s="51"/>
      <c r="D285" s="51"/>
      <c r="E285" s="14" t="str">
        <f t="shared" si="92"/>
        <v/>
      </c>
      <c r="F285" s="47" t="str">
        <f t="shared" si="93"/>
        <v/>
      </c>
      <c r="G285" s="47" t="str">
        <f t="shared" si="94"/>
        <v/>
      </c>
      <c r="H285" s="49" t="str">
        <f t="shared" si="95"/>
        <v/>
      </c>
      <c r="I285" s="50" t="str">
        <f t="shared" si="96"/>
        <v/>
      </c>
      <c r="J285" s="49" t="str">
        <f t="shared" si="97"/>
        <v/>
      </c>
      <c r="K285" s="50" t="str">
        <f t="shared" si="98"/>
        <v/>
      </c>
      <c r="L285" s="47" t="str">
        <f t="shared" si="99"/>
        <v/>
      </c>
      <c r="M285" s="47" t="str">
        <f t="shared" si="100"/>
        <v/>
      </c>
      <c r="N285" s="47" t="str">
        <f t="shared" si="101"/>
        <v/>
      </c>
      <c r="O285" s="47" t="str">
        <f t="shared" si="102"/>
        <v/>
      </c>
      <c r="P285" s="47" t="str">
        <f t="shared" si="103"/>
        <v/>
      </c>
      <c r="S285" s="15">
        <f t="shared" si="104"/>
        <v>0</v>
      </c>
      <c r="T285" s="15">
        <f t="shared" si="105"/>
        <v>1</v>
      </c>
      <c r="U285" s="15" t="e">
        <f t="shared" si="106"/>
        <v>#VALUE!</v>
      </c>
      <c r="V285" s="15" t="e">
        <f t="shared" si="107"/>
        <v>#VALUE!</v>
      </c>
      <c r="W285" s="15" t="e">
        <f t="shared" si="108"/>
        <v>#VALUE!</v>
      </c>
    </row>
    <row r="286" spans="1:23" x14ac:dyDescent="0.2">
      <c r="A286" s="48" t="str">
        <f t="shared" si="109"/>
        <v/>
      </c>
      <c r="B286" s="2"/>
      <c r="C286" s="51"/>
      <c r="D286" s="51"/>
      <c r="E286" s="14" t="str">
        <f t="shared" si="92"/>
        <v/>
      </c>
      <c r="F286" s="47" t="str">
        <f t="shared" si="93"/>
        <v/>
      </c>
      <c r="G286" s="47" t="str">
        <f t="shared" si="94"/>
        <v/>
      </c>
      <c r="H286" s="49" t="str">
        <f t="shared" si="95"/>
        <v/>
      </c>
      <c r="I286" s="50" t="str">
        <f t="shared" si="96"/>
        <v/>
      </c>
      <c r="J286" s="49" t="str">
        <f t="shared" si="97"/>
        <v/>
      </c>
      <c r="K286" s="50" t="str">
        <f t="shared" si="98"/>
        <v/>
      </c>
      <c r="L286" s="47" t="str">
        <f t="shared" si="99"/>
        <v/>
      </c>
      <c r="M286" s="47" t="str">
        <f t="shared" si="100"/>
        <v/>
      </c>
      <c r="N286" s="47" t="str">
        <f t="shared" si="101"/>
        <v/>
      </c>
      <c r="O286" s="47" t="str">
        <f t="shared" si="102"/>
        <v/>
      </c>
      <c r="P286" s="47" t="str">
        <f t="shared" si="103"/>
        <v/>
      </c>
      <c r="S286" s="15">
        <f t="shared" si="104"/>
        <v>0</v>
      </c>
      <c r="T286" s="15">
        <f t="shared" si="105"/>
        <v>1</v>
      </c>
      <c r="U286" s="15" t="e">
        <f t="shared" si="106"/>
        <v>#VALUE!</v>
      </c>
      <c r="V286" s="15" t="e">
        <f t="shared" si="107"/>
        <v>#VALUE!</v>
      </c>
      <c r="W286" s="15" t="e">
        <f t="shared" si="108"/>
        <v>#VALUE!</v>
      </c>
    </row>
    <row r="287" spans="1:23" x14ac:dyDescent="0.2">
      <c r="A287" s="48" t="str">
        <f t="shared" si="109"/>
        <v/>
      </c>
      <c r="B287" s="2"/>
      <c r="C287" s="51"/>
      <c r="D287" s="51"/>
      <c r="E287" s="14" t="str">
        <f t="shared" si="92"/>
        <v/>
      </c>
      <c r="F287" s="47" t="str">
        <f t="shared" si="93"/>
        <v/>
      </c>
      <c r="G287" s="47" t="str">
        <f t="shared" si="94"/>
        <v/>
      </c>
      <c r="H287" s="49" t="str">
        <f t="shared" si="95"/>
        <v/>
      </c>
      <c r="I287" s="50" t="str">
        <f t="shared" si="96"/>
        <v/>
      </c>
      <c r="J287" s="49" t="str">
        <f t="shared" si="97"/>
        <v/>
      </c>
      <c r="K287" s="50" t="str">
        <f t="shared" si="98"/>
        <v/>
      </c>
      <c r="L287" s="47" t="str">
        <f t="shared" si="99"/>
        <v/>
      </c>
      <c r="M287" s="47" t="str">
        <f t="shared" si="100"/>
        <v/>
      </c>
      <c r="N287" s="47" t="str">
        <f t="shared" si="101"/>
        <v/>
      </c>
      <c r="O287" s="47" t="str">
        <f t="shared" si="102"/>
        <v/>
      </c>
      <c r="P287" s="47" t="str">
        <f t="shared" si="103"/>
        <v/>
      </c>
      <c r="S287" s="15">
        <f t="shared" si="104"/>
        <v>0</v>
      </c>
      <c r="T287" s="15">
        <f t="shared" si="105"/>
        <v>1</v>
      </c>
      <c r="U287" s="15" t="e">
        <f t="shared" si="106"/>
        <v>#VALUE!</v>
      </c>
      <c r="V287" s="15" t="e">
        <f t="shared" si="107"/>
        <v>#VALUE!</v>
      </c>
      <c r="W287" s="15" t="e">
        <f t="shared" si="108"/>
        <v>#VALUE!</v>
      </c>
    </row>
    <row r="288" spans="1:23" x14ac:dyDescent="0.2">
      <c r="A288" s="48" t="str">
        <f t="shared" si="109"/>
        <v/>
      </c>
      <c r="B288" s="2"/>
      <c r="C288" s="51"/>
      <c r="D288" s="51"/>
      <c r="E288" s="14" t="str">
        <f t="shared" si="92"/>
        <v/>
      </c>
      <c r="F288" s="47" t="str">
        <f t="shared" si="93"/>
        <v/>
      </c>
      <c r="G288" s="47" t="str">
        <f t="shared" si="94"/>
        <v/>
      </c>
      <c r="H288" s="49" t="str">
        <f t="shared" si="95"/>
        <v/>
      </c>
      <c r="I288" s="50" t="str">
        <f t="shared" si="96"/>
        <v/>
      </c>
      <c r="J288" s="49" t="str">
        <f t="shared" si="97"/>
        <v/>
      </c>
      <c r="K288" s="50" t="str">
        <f t="shared" si="98"/>
        <v/>
      </c>
      <c r="L288" s="47" t="str">
        <f t="shared" si="99"/>
        <v/>
      </c>
      <c r="M288" s="47" t="str">
        <f t="shared" si="100"/>
        <v/>
      </c>
      <c r="N288" s="47" t="str">
        <f t="shared" si="101"/>
        <v/>
      </c>
      <c r="O288" s="47" t="str">
        <f t="shared" si="102"/>
        <v/>
      </c>
      <c r="P288" s="47" t="str">
        <f t="shared" si="103"/>
        <v/>
      </c>
      <c r="S288" s="15">
        <f t="shared" si="104"/>
        <v>0</v>
      </c>
      <c r="T288" s="15">
        <f t="shared" si="105"/>
        <v>1</v>
      </c>
      <c r="U288" s="15" t="e">
        <f t="shared" si="106"/>
        <v>#VALUE!</v>
      </c>
      <c r="V288" s="15" t="e">
        <f t="shared" si="107"/>
        <v>#VALUE!</v>
      </c>
      <c r="W288" s="15" t="e">
        <f t="shared" si="108"/>
        <v>#VALUE!</v>
      </c>
    </row>
    <row r="289" spans="1:23" x14ac:dyDescent="0.2">
      <c r="A289" s="48" t="str">
        <f t="shared" si="109"/>
        <v/>
      </c>
      <c r="B289" s="2"/>
      <c r="C289" s="51"/>
      <c r="D289" s="51"/>
      <c r="E289" s="14" t="str">
        <f t="shared" si="92"/>
        <v/>
      </c>
      <c r="F289" s="47" t="str">
        <f t="shared" si="93"/>
        <v/>
      </c>
      <c r="G289" s="47" t="str">
        <f t="shared" si="94"/>
        <v/>
      </c>
      <c r="H289" s="49" t="str">
        <f t="shared" si="95"/>
        <v/>
      </c>
      <c r="I289" s="50" t="str">
        <f t="shared" si="96"/>
        <v/>
      </c>
      <c r="J289" s="49" t="str">
        <f t="shared" si="97"/>
        <v/>
      </c>
      <c r="K289" s="50" t="str">
        <f t="shared" si="98"/>
        <v/>
      </c>
      <c r="L289" s="47" t="str">
        <f t="shared" si="99"/>
        <v/>
      </c>
      <c r="M289" s="47" t="str">
        <f t="shared" si="100"/>
        <v/>
      </c>
      <c r="N289" s="47" t="str">
        <f t="shared" si="101"/>
        <v/>
      </c>
      <c r="O289" s="47" t="str">
        <f t="shared" si="102"/>
        <v/>
      </c>
      <c r="P289" s="47" t="str">
        <f t="shared" si="103"/>
        <v/>
      </c>
      <c r="S289" s="15">
        <f t="shared" si="104"/>
        <v>0</v>
      </c>
      <c r="T289" s="15">
        <f t="shared" si="105"/>
        <v>1</v>
      </c>
      <c r="U289" s="15" t="e">
        <f t="shared" si="106"/>
        <v>#VALUE!</v>
      </c>
      <c r="V289" s="15" t="e">
        <f t="shared" si="107"/>
        <v>#VALUE!</v>
      </c>
      <c r="W289" s="15" t="e">
        <f t="shared" si="108"/>
        <v>#VALUE!</v>
      </c>
    </row>
    <row r="290" spans="1:23" x14ac:dyDescent="0.2">
      <c r="A290" s="48" t="str">
        <f t="shared" si="109"/>
        <v/>
      </c>
      <c r="B290" s="2"/>
      <c r="C290" s="51"/>
      <c r="D290" s="51"/>
      <c r="E290" s="14" t="str">
        <f t="shared" si="92"/>
        <v/>
      </c>
      <c r="F290" s="47" t="str">
        <f t="shared" si="93"/>
        <v/>
      </c>
      <c r="G290" s="47" t="str">
        <f t="shared" si="94"/>
        <v/>
      </c>
      <c r="H290" s="49" t="str">
        <f t="shared" si="95"/>
        <v/>
      </c>
      <c r="I290" s="50" t="str">
        <f t="shared" si="96"/>
        <v/>
      </c>
      <c r="J290" s="49" t="str">
        <f t="shared" si="97"/>
        <v/>
      </c>
      <c r="K290" s="50" t="str">
        <f t="shared" si="98"/>
        <v/>
      </c>
      <c r="L290" s="47" t="str">
        <f t="shared" si="99"/>
        <v/>
      </c>
      <c r="M290" s="47" t="str">
        <f t="shared" si="100"/>
        <v/>
      </c>
      <c r="N290" s="47" t="str">
        <f t="shared" si="101"/>
        <v/>
      </c>
      <c r="O290" s="47" t="str">
        <f t="shared" si="102"/>
        <v/>
      </c>
      <c r="P290" s="47" t="str">
        <f t="shared" si="103"/>
        <v/>
      </c>
      <c r="S290" s="15">
        <f t="shared" si="104"/>
        <v>0</v>
      </c>
      <c r="T290" s="15">
        <f t="shared" si="105"/>
        <v>1</v>
      </c>
      <c r="U290" s="15" t="e">
        <f t="shared" si="106"/>
        <v>#VALUE!</v>
      </c>
      <c r="V290" s="15" t="e">
        <f t="shared" si="107"/>
        <v>#VALUE!</v>
      </c>
      <c r="W290" s="15" t="e">
        <f t="shared" si="108"/>
        <v>#VALUE!</v>
      </c>
    </row>
    <row r="291" spans="1:23" x14ac:dyDescent="0.2">
      <c r="A291" s="48" t="str">
        <f t="shared" si="109"/>
        <v/>
      </c>
      <c r="B291" s="2"/>
      <c r="C291" s="51"/>
      <c r="D291" s="51"/>
      <c r="E291" s="14" t="str">
        <f t="shared" si="92"/>
        <v/>
      </c>
      <c r="F291" s="47" t="str">
        <f t="shared" si="93"/>
        <v/>
      </c>
      <c r="G291" s="47" t="str">
        <f t="shared" si="94"/>
        <v/>
      </c>
      <c r="H291" s="49" t="str">
        <f t="shared" si="95"/>
        <v/>
      </c>
      <c r="I291" s="50" t="str">
        <f t="shared" si="96"/>
        <v/>
      </c>
      <c r="J291" s="49" t="str">
        <f t="shared" si="97"/>
        <v/>
      </c>
      <c r="K291" s="50" t="str">
        <f t="shared" si="98"/>
        <v/>
      </c>
      <c r="L291" s="47" t="str">
        <f t="shared" si="99"/>
        <v/>
      </c>
      <c r="M291" s="47" t="str">
        <f t="shared" si="100"/>
        <v/>
      </c>
      <c r="N291" s="47" t="str">
        <f t="shared" si="101"/>
        <v/>
      </c>
      <c r="O291" s="47" t="str">
        <f t="shared" si="102"/>
        <v/>
      </c>
      <c r="P291" s="47" t="str">
        <f t="shared" si="103"/>
        <v/>
      </c>
      <c r="S291" s="15">
        <f t="shared" si="104"/>
        <v>0</v>
      </c>
      <c r="T291" s="15">
        <f t="shared" si="105"/>
        <v>1</v>
      </c>
      <c r="U291" s="15" t="e">
        <f t="shared" si="106"/>
        <v>#VALUE!</v>
      </c>
      <c r="V291" s="15" t="e">
        <f t="shared" si="107"/>
        <v>#VALUE!</v>
      </c>
      <c r="W291" s="15" t="e">
        <f t="shared" si="108"/>
        <v>#VALUE!</v>
      </c>
    </row>
    <row r="292" spans="1:23" x14ac:dyDescent="0.2">
      <c r="A292" s="48" t="str">
        <f t="shared" si="109"/>
        <v/>
      </c>
      <c r="B292" s="2"/>
      <c r="C292" s="51"/>
      <c r="D292" s="51"/>
      <c r="E292" s="14" t="str">
        <f t="shared" si="92"/>
        <v/>
      </c>
      <c r="F292" s="47" t="str">
        <f t="shared" si="93"/>
        <v/>
      </c>
      <c r="G292" s="47" t="str">
        <f t="shared" si="94"/>
        <v/>
      </c>
      <c r="H292" s="49" t="str">
        <f t="shared" si="95"/>
        <v/>
      </c>
      <c r="I292" s="50" t="str">
        <f t="shared" si="96"/>
        <v/>
      </c>
      <c r="J292" s="49" t="str">
        <f t="shared" si="97"/>
        <v/>
      </c>
      <c r="K292" s="50" t="str">
        <f t="shared" si="98"/>
        <v/>
      </c>
      <c r="L292" s="47" t="str">
        <f t="shared" si="99"/>
        <v/>
      </c>
      <c r="M292" s="47" t="str">
        <f t="shared" si="100"/>
        <v/>
      </c>
      <c r="N292" s="47" t="str">
        <f t="shared" si="101"/>
        <v/>
      </c>
      <c r="O292" s="47" t="str">
        <f t="shared" si="102"/>
        <v/>
      </c>
      <c r="P292" s="47" t="str">
        <f t="shared" si="103"/>
        <v/>
      </c>
      <c r="S292" s="15">
        <f t="shared" si="104"/>
        <v>0</v>
      </c>
      <c r="T292" s="15">
        <f t="shared" si="105"/>
        <v>1</v>
      </c>
      <c r="U292" s="15" t="e">
        <f t="shared" si="106"/>
        <v>#VALUE!</v>
      </c>
      <c r="V292" s="15" t="e">
        <f t="shared" si="107"/>
        <v>#VALUE!</v>
      </c>
      <c r="W292" s="15" t="e">
        <f t="shared" si="108"/>
        <v>#VALUE!</v>
      </c>
    </row>
    <row r="293" spans="1:23" x14ac:dyDescent="0.2">
      <c r="A293" s="48" t="str">
        <f t="shared" si="109"/>
        <v/>
      </c>
      <c r="B293" s="2"/>
      <c r="C293" s="51"/>
      <c r="D293" s="51"/>
      <c r="E293" s="14" t="str">
        <f t="shared" si="92"/>
        <v/>
      </c>
      <c r="F293" s="47" t="str">
        <f t="shared" si="93"/>
        <v/>
      </c>
      <c r="G293" s="47" t="str">
        <f t="shared" si="94"/>
        <v/>
      </c>
      <c r="H293" s="49" t="str">
        <f t="shared" si="95"/>
        <v/>
      </c>
      <c r="I293" s="50" t="str">
        <f t="shared" si="96"/>
        <v/>
      </c>
      <c r="J293" s="49" t="str">
        <f t="shared" si="97"/>
        <v/>
      </c>
      <c r="K293" s="50" t="str">
        <f t="shared" si="98"/>
        <v/>
      </c>
      <c r="L293" s="47" t="str">
        <f t="shared" si="99"/>
        <v/>
      </c>
      <c r="M293" s="47" t="str">
        <f t="shared" si="100"/>
        <v/>
      </c>
      <c r="N293" s="47" t="str">
        <f t="shared" si="101"/>
        <v/>
      </c>
      <c r="O293" s="47" t="str">
        <f t="shared" si="102"/>
        <v/>
      </c>
      <c r="P293" s="47" t="str">
        <f t="shared" si="103"/>
        <v/>
      </c>
      <c r="S293" s="15">
        <f t="shared" si="104"/>
        <v>0</v>
      </c>
      <c r="T293" s="15">
        <f t="shared" si="105"/>
        <v>1</v>
      </c>
      <c r="U293" s="15" t="e">
        <f t="shared" si="106"/>
        <v>#VALUE!</v>
      </c>
      <c r="V293" s="15" t="e">
        <f t="shared" si="107"/>
        <v>#VALUE!</v>
      </c>
      <c r="W293" s="15" t="e">
        <f t="shared" si="108"/>
        <v>#VALUE!</v>
      </c>
    </row>
    <row r="294" spans="1:23" x14ac:dyDescent="0.2">
      <c r="A294" s="48" t="str">
        <f t="shared" si="109"/>
        <v/>
      </c>
      <c r="B294" s="2"/>
      <c r="C294" s="51"/>
      <c r="D294" s="51"/>
      <c r="E294" s="14" t="str">
        <f t="shared" si="92"/>
        <v/>
      </c>
      <c r="F294" s="47" t="str">
        <f t="shared" si="93"/>
        <v/>
      </c>
      <c r="G294" s="47" t="str">
        <f t="shared" si="94"/>
        <v/>
      </c>
      <c r="H294" s="49" t="str">
        <f t="shared" si="95"/>
        <v/>
      </c>
      <c r="I294" s="50" t="str">
        <f t="shared" si="96"/>
        <v/>
      </c>
      <c r="J294" s="49" t="str">
        <f t="shared" si="97"/>
        <v/>
      </c>
      <c r="K294" s="50" t="str">
        <f t="shared" si="98"/>
        <v/>
      </c>
      <c r="L294" s="47" t="str">
        <f t="shared" si="99"/>
        <v/>
      </c>
      <c r="M294" s="47" t="str">
        <f t="shared" si="100"/>
        <v/>
      </c>
      <c r="N294" s="47" t="str">
        <f t="shared" si="101"/>
        <v/>
      </c>
      <c r="O294" s="47" t="str">
        <f t="shared" si="102"/>
        <v/>
      </c>
      <c r="P294" s="47" t="str">
        <f t="shared" si="103"/>
        <v/>
      </c>
      <c r="S294" s="15">
        <f t="shared" si="104"/>
        <v>0</v>
      </c>
      <c r="T294" s="15">
        <f t="shared" si="105"/>
        <v>1</v>
      </c>
      <c r="U294" s="15" t="e">
        <f t="shared" si="106"/>
        <v>#VALUE!</v>
      </c>
      <c r="V294" s="15" t="e">
        <f t="shared" si="107"/>
        <v>#VALUE!</v>
      </c>
      <c r="W294" s="15" t="e">
        <f t="shared" si="108"/>
        <v>#VALUE!</v>
      </c>
    </row>
    <row r="295" spans="1:23" x14ac:dyDescent="0.2">
      <c r="A295" s="48" t="str">
        <f t="shared" si="109"/>
        <v/>
      </c>
      <c r="B295" s="2"/>
      <c r="C295" s="51"/>
      <c r="D295" s="51"/>
      <c r="E295" s="14" t="str">
        <f t="shared" si="92"/>
        <v/>
      </c>
      <c r="F295" s="47" t="str">
        <f t="shared" si="93"/>
        <v/>
      </c>
      <c r="G295" s="47" t="str">
        <f t="shared" si="94"/>
        <v/>
      </c>
      <c r="H295" s="49" t="str">
        <f t="shared" si="95"/>
        <v/>
      </c>
      <c r="I295" s="50" t="str">
        <f t="shared" si="96"/>
        <v/>
      </c>
      <c r="J295" s="49" t="str">
        <f t="shared" si="97"/>
        <v/>
      </c>
      <c r="K295" s="50" t="str">
        <f t="shared" si="98"/>
        <v/>
      </c>
      <c r="L295" s="47" t="str">
        <f t="shared" si="99"/>
        <v/>
      </c>
      <c r="M295" s="47" t="str">
        <f t="shared" si="100"/>
        <v/>
      </c>
      <c r="N295" s="47" t="str">
        <f t="shared" si="101"/>
        <v/>
      </c>
      <c r="O295" s="47" t="str">
        <f t="shared" si="102"/>
        <v/>
      </c>
      <c r="P295" s="47" t="str">
        <f t="shared" si="103"/>
        <v/>
      </c>
      <c r="S295" s="15">
        <f t="shared" si="104"/>
        <v>0</v>
      </c>
      <c r="T295" s="15">
        <f t="shared" si="105"/>
        <v>1</v>
      </c>
      <c r="U295" s="15" t="e">
        <f t="shared" si="106"/>
        <v>#VALUE!</v>
      </c>
      <c r="V295" s="15" t="e">
        <f t="shared" si="107"/>
        <v>#VALUE!</v>
      </c>
      <c r="W295" s="15" t="e">
        <f t="shared" si="108"/>
        <v>#VALUE!</v>
      </c>
    </row>
    <row r="296" spans="1:23" x14ac:dyDescent="0.2">
      <c r="A296" s="48" t="str">
        <f t="shared" si="109"/>
        <v/>
      </c>
      <c r="B296" s="2"/>
      <c r="C296" s="51"/>
      <c r="D296" s="51"/>
      <c r="E296" s="14" t="str">
        <f t="shared" si="92"/>
        <v/>
      </c>
      <c r="F296" s="47" t="str">
        <f t="shared" si="93"/>
        <v/>
      </c>
      <c r="G296" s="47" t="str">
        <f t="shared" si="94"/>
        <v/>
      </c>
      <c r="H296" s="49" t="str">
        <f t="shared" si="95"/>
        <v/>
      </c>
      <c r="I296" s="50" t="str">
        <f t="shared" si="96"/>
        <v/>
      </c>
      <c r="J296" s="49" t="str">
        <f t="shared" si="97"/>
        <v/>
      </c>
      <c r="K296" s="50" t="str">
        <f t="shared" si="98"/>
        <v/>
      </c>
      <c r="L296" s="47" t="str">
        <f t="shared" si="99"/>
        <v/>
      </c>
      <c r="M296" s="47" t="str">
        <f t="shared" si="100"/>
        <v/>
      </c>
      <c r="N296" s="47" t="str">
        <f t="shared" si="101"/>
        <v/>
      </c>
      <c r="O296" s="47" t="str">
        <f t="shared" si="102"/>
        <v/>
      </c>
      <c r="P296" s="47" t="str">
        <f t="shared" si="103"/>
        <v/>
      </c>
      <c r="S296" s="15">
        <f t="shared" si="104"/>
        <v>0</v>
      </c>
      <c r="T296" s="15">
        <f t="shared" si="105"/>
        <v>1</v>
      </c>
      <c r="U296" s="15" t="e">
        <f t="shared" si="106"/>
        <v>#VALUE!</v>
      </c>
      <c r="V296" s="15" t="e">
        <f t="shared" si="107"/>
        <v>#VALUE!</v>
      </c>
      <c r="W296" s="15" t="e">
        <f t="shared" si="108"/>
        <v>#VALUE!</v>
      </c>
    </row>
    <row r="297" spans="1:23" x14ac:dyDescent="0.2">
      <c r="A297" s="48" t="str">
        <f t="shared" si="109"/>
        <v/>
      </c>
      <c r="B297" s="2"/>
      <c r="C297" s="51"/>
      <c r="D297" s="51"/>
      <c r="E297" s="14" t="str">
        <f t="shared" si="92"/>
        <v/>
      </c>
      <c r="F297" s="47" t="str">
        <f t="shared" si="93"/>
        <v/>
      </c>
      <c r="G297" s="47" t="str">
        <f t="shared" si="94"/>
        <v/>
      </c>
      <c r="H297" s="49" t="str">
        <f t="shared" si="95"/>
        <v/>
      </c>
      <c r="I297" s="50" t="str">
        <f t="shared" si="96"/>
        <v/>
      </c>
      <c r="J297" s="49" t="str">
        <f t="shared" si="97"/>
        <v/>
      </c>
      <c r="K297" s="50" t="str">
        <f t="shared" si="98"/>
        <v/>
      </c>
      <c r="L297" s="47" t="str">
        <f t="shared" si="99"/>
        <v/>
      </c>
      <c r="M297" s="47" t="str">
        <f t="shared" si="100"/>
        <v/>
      </c>
      <c r="N297" s="47" t="str">
        <f t="shared" si="101"/>
        <v/>
      </c>
      <c r="O297" s="47" t="str">
        <f t="shared" si="102"/>
        <v/>
      </c>
      <c r="P297" s="47" t="str">
        <f t="shared" si="103"/>
        <v/>
      </c>
      <c r="S297" s="15">
        <f t="shared" si="104"/>
        <v>0</v>
      </c>
      <c r="T297" s="15">
        <f t="shared" si="105"/>
        <v>1</v>
      </c>
      <c r="U297" s="15" t="e">
        <f t="shared" si="106"/>
        <v>#VALUE!</v>
      </c>
      <c r="V297" s="15" t="e">
        <f t="shared" si="107"/>
        <v>#VALUE!</v>
      </c>
      <c r="W297" s="15" t="e">
        <f t="shared" si="108"/>
        <v>#VALUE!</v>
      </c>
    </row>
    <row r="298" spans="1:23" x14ac:dyDescent="0.2">
      <c r="A298" s="48" t="str">
        <f t="shared" si="109"/>
        <v/>
      </c>
      <c r="B298" s="2"/>
      <c r="C298" s="51"/>
      <c r="D298" s="51"/>
      <c r="E298" s="14" t="str">
        <f t="shared" si="92"/>
        <v/>
      </c>
      <c r="F298" s="47" t="str">
        <f t="shared" si="93"/>
        <v/>
      </c>
      <c r="G298" s="47" t="str">
        <f t="shared" si="94"/>
        <v/>
      </c>
      <c r="H298" s="49" t="str">
        <f t="shared" si="95"/>
        <v/>
      </c>
      <c r="I298" s="50" t="str">
        <f t="shared" si="96"/>
        <v/>
      </c>
      <c r="J298" s="49" t="str">
        <f t="shared" si="97"/>
        <v/>
      </c>
      <c r="K298" s="50" t="str">
        <f t="shared" si="98"/>
        <v/>
      </c>
      <c r="L298" s="47" t="str">
        <f t="shared" si="99"/>
        <v/>
      </c>
      <c r="M298" s="47" t="str">
        <f t="shared" si="100"/>
        <v/>
      </c>
      <c r="N298" s="47" t="str">
        <f t="shared" si="101"/>
        <v/>
      </c>
      <c r="O298" s="47" t="str">
        <f t="shared" si="102"/>
        <v/>
      </c>
      <c r="P298" s="47" t="str">
        <f t="shared" si="103"/>
        <v/>
      </c>
      <c r="S298" s="15">
        <f t="shared" si="104"/>
        <v>0</v>
      </c>
      <c r="T298" s="15">
        <f t="shared" si="105"/>
        <v>1</v>
      </c>
      <c r="U298" s="15" t="e">
        <f t="shared" si="106"/>
        <v>#VALUE!</v>
      </c>
      <c r="V298" s="15" t="e">
        <f t="shared" si="107"/>
        <v>#VALUE!</v>
      </c>
      <c r="W298" s="15" t="e">
        <f t="shared" si="108"/>
        <v>#VALUE!</v>
      </c>
    </row>
    <row r="299" spans="1:23" x14ac:dyDescent="0.2">
      <c r="A299" s="48" t="str">
        <f t="shared" si="109"/>
        <v/>
      </c>
      <c r="B299" s="2"/>
      <c r="C299" s="51"/>
      <c r="D299" s="51"/>
      <c r="E299" s="14" t="str">
        <f t="shared" si="92"/>
        <v/>
      </c>
      <c r="F299" s="47" t="str">
        <f t="shared" si="93"/>
        <v/>
      </c>
      <c r="G299" s="47" t="str">
        <f t="shared" si="94"/>
        <v/>
      </c>
      <c r="H299" s="49" t="str">
        <f t="shared" si="95"/>
        <v/>
      </c>
      <c r="I299" s="50" t="str">
        <f t="shared" si="96"/>
        <v/>
      </c>
      <c r="J299" s="49" t="str">
        <f t="shared" si="97"/>
        <v/>
      </c>
      <c r="K299" s="50" t="str">
        <f t="shared" si="98"/>
        <v/>
      </c>
      <c r="L299" s="47" t="str">
        <f t="shared" si="99"/>
        <v/>
      </c>
      <c r="M299" s="47" t="str">
        <f t="shared" si="100"/>
        <v/>
      </c>
      <c r="N299" s="47" t="str">
        <f t="shared" si="101"/>
        <v/>
      </c>
      <c r="O299" s="47" t="str">
        <f t="shared" si="102"/>
        <v/>
      </c>
      <c r="P299" s="47" t="str">
        <f t="shared" si="103"/>
        <v/>
      </c>
      <c r="S299" s="15">
        <f t="shared" si="104"/>
        <v>0</v>
      </c>
      <c r="T299" s="15">
        <f t="shared" si="105"/>
        <v>1</v>
      </c>
      <c r="U299" s="15" t="e">
        <f t="shared" si="106"/>
        <v>#VALUE!</v>
      </c>
      <c r="V299" s="15" t="e">
        <f t="shared" si="107"/>
        <v>#VALUE!</v>
      </c>
      <c r="W299" s="15" t="e">
        <f t="shared" si="108"/>
        <v>#VALUE!</v>
      </c>
    </row>
    <row r="300" spans="1:23" x14ac:dyDescent="0.2">
      <c r="A300" s="48" t="str">
        <f t="shared" si="109"/>
        <v/>
      </c>
      <c r="B300" s="2"/>
      <c r="C300" s="51"/>
      <c r="D300" s="51"/>
      <c r="E300" s="14" t="str">
        <f t="shared" si="92"/>
        <v/>
      </c>
      <c r="F300" s="47" t="str">
        <f t="shared" si="93"/>
        <v/>
      </c>
      <c r="G300" s="47" t="str">
        <f t="shared" si="94"/>
        <v/>
      </c>
      <c r="H300" s="49" t="str">
        <f t="shared" si="95"/>
        <v/>
      </c>
      <c r="I300" s="50" t="str">
        <f t="shared" si="96"/>
        <v/>
      </c>
      <c r="J300" s="49" t="str">
        <f t="shared" si="97"/>
        <v/>
      </c>
      <c r="K300" s="50" t="str">
        <f t="shared" si="98"/>
        <v/>
      </c>
      <c r="L300" s="47" t="str">
        <f t="shared" si="99"/>
        <v/>
      </c>
      <c r="M300" s="47" t="str">
        <f t="shared" si="100"/>
        <v/>
      </c>
      <c r="N300" s="47" t="str">
        <f t="shared" si="101"/>
        <v/>
      </c>
      <c r="O300" s="47" t="str">
        <f t="shared" si="102"/>
        <v/>
      </c>
      <c r="P300" s="47" t="str">
        <f t="shared" si="103"/>
        <v/>
      </c>
      <c r="S300" s="15">
        <f t="shared" si="104"/>
        <v>0</v>
      </c>
      <c r="T300" s="15">
        <f t="shared" si="105"/>
        <v>1</v>
      </c>
      <c r="U300" s="15" t="e">
        <f t="shared" si="106"/>
        <v>#VALUE!</v>
      </c>
      <c r="V300" s="15" t="e">
        <f t="shared" si="107"/>
        <v>#VALUE!</v>
      </c>
      <c r="W300" s="15" t="e">
        <f t="shared" si="108"/>
        <v>#VALUE!</v>
      </c>
    </row>
    <row r="301" spans="1:23" x14ac:dyDescent="0.2">
      <c r="A301" s="48" t="str">
        <f t="shared" si="109"/>
        <v/>
      </c>
      <c r="B301" s="2"/>
      <c r="C301" s="51"/>
      <c r="D301" s="51"/>
      <c r="E301" s="14" t="str">
        <f t="shared" si="92"/>
        <v/>
      </c>
      <c r="F301" s="47" t="str">
        <f t="shared" si="93"/>
        <v/>
      </c>
      <c r="G301" s="47" t="str">
        <f t="shared" si="94"/>
        <v/>
      </c>
      <c r="H301" s="49" t="str">
        <f t="shared" si="95"/>
        <v/>
      </c>
      <c r="I301" s="50" t="str">
        <f t="shared" si="96"/>
        <v/>
      </c>
      <c r="J301" s="49" t="str">
        <f t="shared" si="97"/>
        <v/>
      </c>
      <c r="K301" s="50" t="str">
        <f t="shared" si="98"/>
        <v/>
      </c>
      <c r="L301" s="47" t="str">
        <f t="shared" si="99"/>
        <v/>
      </c>
      <c r="M301" s="47" t="str">
        <f t="shared" si="100"/>
        <v/>
      </c>
      <c r="N301" s="47" t="str">
        <f t="shared" si="101"/>
        <v/>
      </c>
      <c r="O301" s="47" t="str">
        <f t="shared" si="102"/>
        <v/>
      </c>
      <c r="P301" s="47" t="str">
        <f t="shared" si="103"/>
        <v/>
      </c>
      <c r="S301" s="15">
        <f t="shared" si="104"/>
        <v>0</v>
      </c>
      <c r="T301" s="15">
        <f t="shared" si="105"/>
        <v>1</v>
      </c>
      <c r="U301" s="15" t="e">
        <f t="shared" si="106"/>
        <v>#VALUE!</v>
      </c>
      <c r="V301" s="15" t="e">
        <f t="shared" si="107"/>
        <v>#VALUE!</v>
      </c>
      <c r="W301" s="15" t="e">
        <f t="shared" si="108"/>
        <v>#VALUE!</v>
      </c>
    </row>
    <row r="302" spans="1:23" x14ac:dyDescent="0.2">
      <c r="A302" s="48" t="str">
        <f t="shared" si="109"/>
        <v/>
      </c>
      <c r="B302" s="2"/>
      <c r="C302" s="51"/>
      <c r="D302" s="51"/>
      <c r="E302" s="14" t="str">
        <f t="shared" si="92"/>
        <v/>
      </c>
      <c r="F302" s="47" t="str">
        <f t="shared" si="93"/>
        <v/>
      </c>
      <c r="G302" s="47" t="str">
        <f t="shared" si="94"/>
        <v/>
      </c>
      <c r="H302" s="49" t="str">
        <f t="shared" si="95"/>
        <v/>
      </c>
      <c r="I302" s="50" t="str">
        <f t="shared" si="96"/>
        <v/>
      </c>
      <c r="J302" s="49" t="str">
        <f t="shared" si="97"/>
        <v/>
      </c>
      <c r="K302" s="50" t="str">
        <f t="shared" si="98"/>
        <v/>
      </c>
      <c r="L302" s="47" t="str">
        <f t="shared" si="99"/>
        <v/>
      </c>
      <c r="M302" s="47" t="str">
        <f t="shared" si="100"/>
        <v/>
      </c>
      <c r="N302" s="47" t="str">
        <f t="shared" si="101"/>
        <v/>
      </c>
      <c r="O302" s="47" t="str">
        <f t="shared" si="102"/>
        <v/>
      </c>
      <c r="P302" s="47" t="str">
        <f t="shared" si="103"/>
        <v/>
      </c>
      <c r="S302" s="15">
        <f t="shared" si="104"/>
        <v>0</v>
      </c>
      <c r="T302" s="15">
        <f t="shared" si="105"/>
        <v>1</v>
      </c>
      <c r="U302" s="15" t="e">
        <f t="shared" si="106"/>
        <v>#VALUE!</v>
      </c>
      <c r="V302" s="15" t="e">
        <f t="shared" si="107"/>
        <v>#VALUE!</v>
      </c>
      <c r="W302" s="15" t="e">
        <f t="shared" si="108"/>
        <v>#VALUE!</v>
      </c>
    </row>
    <row r="303" spans="1:23" x14ac:dyDescent="0.2">
      <c r="A303" s="48" t="str">
        <f t="shared" si="109"/>
        <v/>
      </c>
      <c r="B303" s="2"/>
      <c r="C303" s="51"/>
      <c r="D303" s="51"/>
      <c r="E303" s="14" t="str">
        <f t="shared" si="92"/>
        <v/>
      </c>
      <c r="F303" s="47" t="str">
        <f t="shared" si="93"/>
        <v/>
      </c>
      <c r="G303" s="47" t="str">
        <f t="shared" si="94"/>
        <v/>
      </c>
      <c r="H303" s="49" t="str">
        <f t="shared" si="95"/>
        <v/>
      </c>
      <c r="I303" s="50" t="str">
        <f t="shared" si="96"/>
        <v/>
      </c>
      <c r="J303" s="49" t="str">
        <f t="shared" si="97"/>
        <v/>
      </c>
      <c r="K303" s="50" t="str">
        <f t="shared" si="98"/>
        <v/>
      </c>
      <c r="L303" s="47" t="str">
        <f t="shared" si="99"/>
        <v/>
      </c>
      <c r="M303" s="47" t="str">
        <f t="shared" si="100"/>
        <v/>
      </c>
      <c r="N303" s="47" t="str">
        <f t="shared" si="101"/>
        <v/>
      </c>
      <c r="O303" s="47" t="str">
        <f t="shared" si="102"/>
        <v/>
      </c>
      <c r="P303" s="47" t="str">
        <f t="shared" si="103"/>
        <v/>
      </c>
      <c r="S303" s="15">
        <f t="shared" si="104"/>
        <v>0</v>
      </c>
      <c r="T303" s="15">
        <f t="shared" si="105"/>
        <v>1</v>
      </c>
      <c r="U303" s="15" t="e">
        <f t="shared" si="106"/>
        <v>#VALUE!</v>
      </c>
      <c r="V303" s="15" t="e">
        <f t="shared" si="107"/>
        <v>#VALUE!</v>
      </c>
      <c r="W303" s="15" t="e">
        <f t="shared" si="108"/>
        <v>#VALUE!</v>
      </c>
    </row>
    <row r="304" spans="1:23" x14ac:dyDescent="0.2">
      <c r="A304" s="48" t="str">
        <f t="shared" si="109"/>
        <v/>
      </c>
      <c r="B304" s="2"/>
      <c r="C304" s="51"/>
      <c r="D304" s="51"/>
      <c r="E304" s="14" t="str">
        <f t="shared" si="92"/>
        <v/>
      </c>
      <c r="F304" s="47" t="str">
        <f t="shared" si="93"/>
        <v/>
      </c>
      <c r="G304" s="47" t="str">
        <f t="shared" si="94"/>
        <v/>
      </c>
      <c r="H304" s="49" t="str">
        <f t="shared" si="95"/>
        <v/>
      </c>
      <c r="I304" s="50" t="str">
        <f t="shared" si="96"/>
        <v/>
      </c>
      <c r="J304" s="49" t="str">
        <f t="shared" si="97"/>
        <v/>
      </c>
      <c r="K304" s="50" t="str">
        <f t="shared" si="98"/>
        <v/>
      </c>
      <c r="L304" s="47" t="str">
        <f t="shared" si="99"/>
        <v/>
      </c>
      <c r="M304" s="47" t="str">
        <f t="shared" si="100"/>
        <v/>
      </c>
      <c r="N304" s="47" t="str">
        <f t="shared" si="101"/>
        <v/>
      </c>
      <c r="O304" s="47" t="str">
        <f t="shared" si="102"/>
        <v/>
      </c>
      <c r="P304" s="47" t="str">
        <f t="shared" si="103"/>
        <v/>
      </c>
      <c r="S304" s="15">
        <f t="shared" si="104"/>
        <v>0</v>
      </c>
      <c r="T304" s="15">
        <f t="shared" si="105"/>
        <v>1</v>
      </c>
      <c r="U304" s="15" t="e">
        <f t="shared" si="106"/>
        <v>#VALUE!</v>
      </c>
      <c r="V304" s="15" t="e">
        <f t="shared" si="107"/>
        <v>#VALUE!</v>
      </c>
      <c r="W304" s="15" t="e">
        <f t="shared" si="108"/>
        <v>#VALUE!</v>
      </c>
    </row>
    <row r="305" spans="1:23" x14ac:dyDescent="0.2">
      <c r="A305" s="48" t="str">
        <f t="shared" si="109"/>
        <v/>
      </c>
      <c r="B305" s="2"/>
      <c r="C305" s="51"/>
      <c r="D305" s="51"/>
      <c r="E305" s="14" t="str">
        <f t="shared" si="92"/>
        <v/>
      </c>
      <c r="F305" s="47" t="str">
        <f t="shared" si="93"/>
        <v/>
      </c>
      <c r="G305" s="47" t="str">
        <f t="shared" si="94"/>
        <v/>
      </c>
      <c r="H305" s="49" t="str">
        <f t="shared" si="95"/>
        <v/>
      </c>
      <c r="I305" s="50" t="str">
        <f t="shared" si="96"/>
        <v/>
      </c>
      <c r="J305" s="49" t="str">
        <f t="shared" si="97"/>
        <v/>
      </c>
      <c r="K305" s="50" t="str">
        <f t="shared" si="98"/>
        <v/>
      </c>
      <c r="L305" s="47" t="str">
        <f t="shared" si="99"/>
        <v/>
      </c>
      <c r="M305" s="47" t="str">
        <f t="shared" si="100"/>
        <v/>
      </c>
      <c r="N305" s="47" t="str">
        <f t="shared" si="101"/>
        <v/>
      </c>
      <c r="O305" s="47" t="str">
        <f t="shared" si="102"/>
        <v/>
      </c>
      <c r="P305" s="47" t="str">
        <f t="shared" si="103"/>
        <v/>
      </c>
      <c r="S305" s="15">
        <f t="shared" si="104"/>
        <v>0</v>
      </c>
      <c r="T305" s="15">
        <f t="shared" si="105"/>
        <v>1</v>
      </c>
      <c r="U305" s="15" t="e">
        <f t="shared" si="106"/>
        <v>#VALUE!</v>
      </c>
      <c r="V305" s="15" t="e">
        <f t="shared" si="107"/>
        <v>#VALUE!</v>
      </c>
      <c r="W305" s="15" t="e">
        <f t="shared" si="108"/>
        <v>#VALUE!</v>
      </c>
    </row>
    <row r="306" spans="1:23" x14ac:dyDescent="0.2">
      <c r="A306" s="48" t="str">
        <f t="shared" si="109"/>
        <v/>
      </c>
      <c r="B306" s="2"/>
      <c r="C306" s="51"/>
      <c r="D306" s="51"/>
      <c r="E306" s="14" t="str">
        <f t="shared" ref="E306:E369" si="110">IF($B306="","",B306-B305)</f>
        <v/>
      </c>
      <c r="F306" s="47" t="str">
        <f t="shared" ref="F306:F369" si="111">IF(B306="","",IF($U$1=1,F305+(T306*E306/2*(COS(RADIANS(C306))+COS(RADIANS(C305)))), IF($U$1=2,IF(C306=C305,F305+E306*(COS(RADIANS(C306))),F305+(E306/(C306-C305))*(DEGREES(SIN(RADIANS(C306))-SIN(RADIANS(C305))))),F305+(E306*(COS(RADIANS((C306+C305)/2)))))))</f>
        <v/>
      </c>
      <c r="G306" s="47" t="str">
        <f t="shared" ref="G306:G369" si="112">IF(B306="","",L306*COS(RADIANS(M306-$N$2)))</f>
        <v/>
      </c>
      <c r="H306" s="49" t="str">
        <f t="shared" ref="H306:H369" si="113">IF(B306="","",ABS(U306))</f>
        <v/>
      </c>
      <c r="I306" s="50" t="str">
        <f t="shared" ref="I306:I369" si="114">IF(B306="","",IF(U306&lt;0,"S","N"))</f>
        <v/>
      </c>
      <c r="J306" s="49" t="str">
        <f t="shared" ref="J306:J369" si="115">IF(B306="","",ABS(V306))</f>
        <v/>
      </c>
      <c r="K306" s="50" t="str">
        <f t="shared" ref="K306:K369" si="116">IF(B306="","",IF(V306&lt;0,"W","E"))</f>
        <v/>
      </c>
      <c r="L306" s="47" t="str">
        <f t="shared" ref="L306:L369" si="117">IF(B306="","",(H306^2+J306^2)^0.5)</f>
        <v/>
      </c>
      <c r="M306" s="47" t="str">
        <f t="shared" ref="M306:M369" si="118">IF(B306="","",IF(I306="S", 180+W306,IF(AND(I306="N",K306="E"),W306,360+W306)))</f>
        <v/>
      </c>
      <c r="N306" s="47" t="str">
        <f t="shared" ref="N306:N369" si="119">IF(B306="","",S306*100/E306)</f>
        <v/>
      </c>
      <c r="O306" s="47" t="str">
        <f t="shared" ref="O306:O369" si="120">IF(B306="","",(C306-C305)*(100/E306))</f>
        <v/>
      </c>
      <c r="P306" s="47" t="str">
        <f t="shared" ref="P306:P369" si="121">IF(B306="","",(D306-D305)*(100/E306))</f>
        <v/>
      </c>
      <c r="S306" s="15">
        <f t="shared" ref="S306:S369" si="122">DEGREES(ACOS(COS(RADIANS(C306-C305))+((SIN(RADIANS(C306)))*(SIN(RADIANS(C305))))*((COS(RADIANS(D306-D305)))-1)))</f>
        <v>0</v>
      </c>
      <c r="T306" s="15">
        <f t="shared" ref="T306:T369" si="123">IF($U$1=1,IF(S306&lt;0.25,1,(2/S306)*(DEGREES((TAN(RADIANS(S306/2)))))),IF($U$1=2,IF(C306=C305,E306*(SIN(RADIANS(C306))),(E306/(C306-C305))*(DEGREES(COS(RADIANS(C306))-COS(RADIANS(C305))))),E306*SIN(RADIANS((C306+C305)/2))))</f>
        <v>1</v>
      </c>
      <c r="U306" s="15" t="e">
        <f t="shared" ref="U306:U369" si="124">IF($U$1=1,U305+(T306*E306/2*((SIN(RADIANS(C306))*COS(RADIANS(D306)))+(SIN(RADIANS(C305))*COS(RADIANS(D305))))),IF($U$1=2,IF(D306=D305,U305+(-T306*(COS(RADIANS(D306)))),U305+(-T306/(D306-D305))*(DEGREES(SIN(RADIANS(D306))-SIN(RADIANS(D305))))),U305+T306*(COS(RADIANS((D306+D305)/2)))))</f>
        <v>#VALUE!</v>
      </c>
      <c r="V306" s="15" t="e">
        <f t="shared" ref="V306:V369" si="125">IF($U$1=1,V305+(T306*E306/2*((SIN(RADIANS(C306))*SIN(RADIANS(D306)))+(SIN(RADIANS(C305))*SIN(RADIANS(D305))))),IF($U$1=2,IF(D306=D305,V305-T306*(SIN(RADIANS(D306))),V305+(T306/(D306-D305))*(DEGREES(COS(RADIANS(D306))-COS(RADIANS(D305))))),V305+(T306*(SIN(RADIANS((D306+D305)/2))))))</f>
        <v>#VALUE!</v>
      </c>
      <c r="W306" s="15" t="e">
        <f t="shared" ref="W306:W369" si="126">DEGREES(ATAN(V306/U306))</f>
        <v>#VALUE!</v>
      </c>
    </row>
    <row r="307" spans="1:23" x14ac:dyDescent="0.2">
      <c r="A307" s="48" t="str">
        <f t="shared" si="109"/>
        <v/>
      </c>
      <c r="B307" s="2"/>
      <c r="C307" s="51"/>
      <c r="D307" s="51"/>
      <c r="E307" s="14" t="str">
        <f t="shared" si="110"/>
        <v/>
      </c>
      <c r="F307" s="47" t="str">
        <f t="shared" si="111"/>
        <v/>
      </c>
      <c r="G307" s="47" t="str">
        <f t="shared" si="112"/>
        <v/>
      </c>
      <c r="H307" s="49" t="str">
        <f t="shared" si="113"/>
        <v/>
      </c>
      <c r="I307" s="50" t="str">
        <f t="shared" si="114"/>
        <v/>
      </c>
      <c r="J307" s="49" t="str">
        <f t="shared" si="115"/>
        <v/>
      </c>
      <c r="K307" s="50" t="str">
        <f t="shared" si="116"/>
        <v/>
      </c>
      <c r="L307" s="47" t="str">
        <f t="shared" si="117"/>
        <v/>
      </c>
      <c r="M307" s="47" t="str">
        <f t="shared" si="118"/>
        <v/>
      </c>
      <c r="N307" s="47" t="str">
        <f t="shared" si="119"/>
        <v/>
      </c>
      <c r="O307" s="47" t="str">
        <f t="shared" si="120"/>
        <v/>
      </c>
      <c r="P307" s="47" t="str">
        <f t="shared" si="121"/>
        <v/>
      </c>
      <c r="S307" s="15">
        <f t="shared" si="122"/>
        <v>0</v>
      </c>
      <c r="T307" s="15">
        <f t="shared" si="123"/>
        <v>1</v>
      </c>
      <c r="U307" s="15" t="e">
        <f t="shared" si="124"/>
        <v>#VALUE!</v>
      </c>
      <c r="V307" s="15" t="e">
        <f t="shared" si="125"/>
        <v>#VALUE!</v>
      </c>
      <c r="W307" s="15" t="e">
        <f t="shared" si="126"/>
        <v>#VALUE!</v>
      </c>
    </row>
    <row r="308" spans="1:23" x14ac:dyDescent="0.2">
      <c r="A308" s="48" t="str">
        <f t="shared" si="109"/>
        <v/>
      </c>
      <c r="B308" s="2"/>
      <c r="C308" s="51"/>
      <c r="D308" s="51"/>
      <c r="E308" s="14" t="str">
        <f t="shared" si="110"/>
        <v/>
      </c>
      <c r="F308" s="47" t="str">
        <f t="shared" si="111"/>
        <v/>
      </c>
      <c r="G308" s="47" t="str">
        <f t="shared" si="112"/>
        <v/>
      </c>
      <c r="H308" s="49" t="str">
        <f t="shared" si="113"/>
        <v/>
      </c>
      <c r="I308" s="50" t="str">
        <f t="shared" si="114"/>
        <v/>
      </c>
      <c r="J308" s="49" t="str">
        <f t="shared" si="115"/>
        <v/>
      </c>
      <c r="K308" s="50" t="str">
        <f t="shared" si="116"/>
        <v/>
      </c>
      <c r="L308" s="47" t="str">
        <f t="shared" si="117"/>
        <v/>
      </c>
      <c r="M308" s="47" t="str">
        <f t="shared" si="118"/>
        <v/>
      </c>
      <c r="N308" s="47" t="str">
        <f t="shared" si="119"/>
        <v/>
      </c>
      <c r="O308" s="47" t="str">
        <f t="shared" si="120"/>
        <v/>
      </c>
      <c r="P308" s="47" t="str">
        <f t="shared" si="121"/>
        <v/>
      </c>
      <c r="S308" s="15">
        <f t="shared" si="122"/>
        <v>0</v>
      </c>
      <c r="T308" s="15">
        <f t="shared" si="123"/>
        <v>1</v>
      </c>
      <c r="U308" s="15" t="e">
        <f t="shared" si="124"/>
        <v>#VALUE!</v>
      </c>
      <c r="V308" s="15" t="e">
        <f t="shared" si="125"/>
        <v>#VALUE!</v>
      </c>
      <c r="W308" s="15" t="e">
        <f t="shared" si="126"/>
        <v>#VALUE!</v>
      </c>
    </row>
    <row r="309" spans="1:23" x14ac:dyDescent="0.2">
      <c r="A309" s="48" t="str">
        <f t="shared" si="109"/>
        <v/>
      </c>
      <c r="B309" s="2"/>
      <c r="C309" s="51"/>
      <c r="D309" s="51"/>
      <c r="E309" s="14" t="str">
        <f t="shared" si="110"/>
        <v/>
      </c>
      <c r="F309" s="47" t="str">
        <f t="shared" si="111"/>
        <v/>
      </c>
      <c r="G309" s="47" t="str">
        <f t="shared" si="112"/>
        <v/>
      </c>
      <c r="H309" s="49" t="str">
        <f t="shared" si="113"/>
        <v/>
      </c>
      <c r="I309" s="50" t="str">
        <f t="shared" si="114"/>
        <v/>
      </c>
      <c r="J309" s="49" t="str">
        <f t="shared" si="115"/>
        <v/>
      </c>
      <c r="K309" s="50" t="str">
        <f t="shared" si="116"/>
        <v/>
      </c>
      <c r="L309" s="47" t="str">
        <f t="shared" si="117"/>
        <v/>
      </c>
      <c r="M309" s="47" t="str">
        <f t="shared" si="118"/>
        <v/>
      </c>
      <c r="N309" s="47" t="str">
        <f t="shared" si="119"/>
        <v/>
      </c>
      <c r="O309" s="47" t="str">
        <f t="shared" si="120"/>
        <v/>
      </c>
      <c r="P309" s="47" t="str">
        <f t="shared" si="121"/>
        <v/>
      </c>
      <c r="S309" s="15">
        <f t="shared" si="122"/>
        <v>0</v>
      </c>
      <c r="T309" s="15">
        <f t="shared" si="123"/>
        <v>1</v>
      </c>
      <c r="U309" s="15" t="e">
        <f t="shared" si="124"/>
        <v>#VALUE!</v>
      </c>
      <c r="V309" s="15" t="e">
        <f t="shared" si="125"/>
        <v>#VALUE!</v>
      </c>
      <c r="W309" s="15" t="e">
        <f t="shared" si="126"/>
        <v>#VALUE!</v>
      </c>
    </row>
    <row r="310" spans="1:23" x14ac:dyDescent="0.2">
      <c r="A310" s="48" t="str">
        <f t="shared" si="109"/>
        <v/>
      </c>
      <c r="B310" s="2"/>
      <c r="C310" s="51"/>
      <c r="D310" s="51"/>
      <c r="E310" s="14" t="str">
        <f t="shared" si="110"/>
        <v/>
      </c>
      <c r="F310" s="47" t="str">
        <f t="shared" si="111"/>
        <v/>
      </c>
      <c r="G310" s="47" t="str">
        <f t="shared" si="112"/>
        <v/>
      </c>
      <c r="H310" s="49" t="str">
        <f t="shared" si="113"/>
        <v/>
      </c>
      <c r="I310" s="50" t="str">
        <f t="shared" si="114"/>
        <v/>
      </c>
      <c r="J310" s="49" t="str">
        <f t="shared" si="115"/>
        <v/>
      </c>
      <c r="K310" s="50" t="str">
        <f t="shared" si="116"/>
        <v/>
      </c>
      <c r="L310" s="47" t="str">
        <f t="shared" si="117"/>
        <v/>
      </c>
      <c r="M310" s="47" t="str">
        <f t="shared" si="118"/>
        <v/>
      </c>
      <c r="N310" s="47" t="str">
        <f t="shared" si="119"/>
        <v/>
      </c>
      <c r="O310" s="47" t="str">
        <f t="shared" si="120"/>
        <v/>
      </c>
      <c r="P310" s="47" t="str">
        <f t="shared" si="121"/>
        <v/>
      </c>
      <c r="S310" s="15">
        <f t="shared" si="122"/>
        <v>0</v>
      </c>
      <c r="T310" s="15">
        <f t="shared" si="123"/>
        <v>1</v>
      </c>
      <c r="U310" s="15" t="e">
        <f t="shared" si="124"/>
        <v>#VALUE!</v>
      </c>
      <c r="V310" s="15" t="e">
        <f t="shared" si="125"/>
        <v>#VALUE!</v>
      </c>
      <c r="W310" s="15" t="e">
        <f t="shared" si="126"/>
        <v>#VALUE!</v>
      </c>
    </row>
    <row r="311" spans="1:23" x14ac:dyDescent="0.2">
      <c r="A311" s="48" t="str">
        <f t="shared" si="109"/>
        <v/>
      </c>
      <c r="B311" s="2"/>
      <c r="C311" s="51"/>
      <c r="D311" s="51"/>
      <c r="E311" s="14" t="str">
        <f t="shared" si="110"/>
        <v/>
      </c>
      <c r="F311" s="47" t="str">
        <f t="shared" si="111"/>
        <v/>
      </c>
      <c r="G311" s="47" t="str">
        <f t="shared" si="112"/>
        <v/>
      </c>
      <c r="H311" s="49" t="str">
        <f t="shared" si="113"/>
        <v/>
      </c>
      <c r="I311" s="50" t="str">
        <f t="shared" si="114"/>
        <v/>
      </c>
      <c r="J311" s="49" t="str">
        <f t="shared" si="115"/>
        <v/>
      </c>
      <c r="K311" s="50" t="str">
        <f t="shared" si="116"/>
        <v/>
      </c>
      <c r="L311" s="47" t="str">
        <f t="shared" si="117"/>
        <v/>
      </c>
      <c r="M311" s="47" t="str">
        <f t="shared" si="118"/>
        <v/>
      </c>
      <c r="N311" s="47" t="str">
        <f t="shared" si="119"/>
        <v/>
      </c>
      <c r="O311" s="47" t="str">
        <f t="shared" si="120"/>
        <v/>
      </c>
      <c r="P311" s="47" t="str">
        <f t="shared" si="121"/>
        <v/>
      </c>
      <c r="S311" s="15">
        <f t="shared" si="122"/>
        <v>0</v>
      </c>
      <c r="T311" s="15">
        <f t="shared" si="123"/>
        <v>1</v>
      </c>
      <c r="U311" s="15" t="e">
        <f t="shared" si="124"/>
        <v>#VALUE!</v>
      </c>
      <c r="V311" s="15" t="e">
        <f t="shared" si="125"/>
        <v>#VALUE!</v>
      </c>
      <c r="W311" s="15" t="e">
        <f t="shared" si="126"/>
        <v>#VALUE!</v>
      </c>
    </row>
    <row r="312" spans="1:23" x14ac:dyDescent="0.2">
      <c r="A312" s="48" t="str">
        <f t="shared" si="109"/>
        <v/>
      </c>
      <c r="B312" s="2"/>
      <c r="C312" s="51"/>
      <c r="D312" s="51"/>
      <c r="E312" s="14" t="str">
        <f t="shared" si="110"/>
        <v/>
      </c>
      <c r="F312" s="47" t="str">
        <f t="shared" si="111"/>
        <v/>
      </c>
      <c r="G312" s="47" t="str">
        <f t="shared" si="112"/>
        <v/>
      </c>
      <c r="H312" s="49" t="str">
        <f t="shared" si="113"/>
        <v/>
      </c>
      <c r="I312" s="50" t="str">
        <f t="shared" si="114"/>
        <v/>
      </c>
      <c r="J312" s="49" t="str">
        <f t="shared" si="115"/>
        <v/>
      </c>
      <c r="K312" s="50" t="str">
        <f t="shared" si="116"/>
        <v/>
      </c>
      <c r="L312" s="47" t="str">
        <f t="shared" si="117"/>
        <v/>
      </c>
      <c r="M312" s="47" t="str">
        <f t="shared" si="118"/>
        <v/>
      </c>
      <c r="N312" s="47" t="str">
        <f t="shared" si="119"/>
        <v/>
      </c>
      <c r="O312" s="47" t="str">
        <f t="shared" si="120"/>
        <v/>
      </c>
      <c r="P312" s="47" t="str">
        <f t="shared" si="121"/>
        <v/>
      </c>
      <c r="S312" s="15">
        <f t="shared" si="122"/>
        <v>0</v>
      </c>
      <c r="T312" s="15">
        <f t="shared" si="123"/>
        <v>1</v>
      </c>
      <c r="U312" s="15" t="e">
        <f t="shared" si="124"/>
        <v>#VALUE!</v>
      </c>
      <c r="V312" s="15" t="e">
        <f t="shared" si="125"/>
        <v>#VALUE!</v>
      </c>
      <c r="W312" s="15" t="e">
        <f t="shared" si="126"/>
        <v>#VALUE!</v>
      </c>
    </row>
    <row r="313" spans="1:23" x14ac:dyDescent="0.2">
      <c r="A313" s="48" t="str">
        <f t="shared" si="109"/>
        <v/>
      </c>
      <c r="B313" s="2"/>
      <c r="C313" s="51"/>
      <c r="D313" s="51"/>
      <c r="E313" s="14" t="str">
        <f t="shared" si="110"/>
        <v/>
      </c>
      <c r="F313" s="47" t="str">
        <f t="shared" si="111"/>
        <v/>
      </c>
      <c r="G313" s="47" t="str">
        <f t="shared" si="112"/>
        <v/>
      </c>
      <c r="H313" s="49" t="str">
        <f t="shared" si="113"/>
        <v/>
      </c>
      <c r="I313" s="50" t="str">
        <f t="shared" si="114"/>
        <v/>
      </c>
      <c r="J313" s="49" t="str">
        <f t="shared" si="115"/>
        <v/>
      </c>
      <c r="K313" s="50" t="str">
        <f t="shared" si="116"/>
        <v/>
      </c>
      <c r="L313" s="47" t="str">
        <f t="shared" si="117"/>
        <v/>
      </c>
      <c r="M313" s="47" t="str">
        <f t="shared" si="118"/>
        <v/>
      </c>
      <c r="N313" s="47" t="str">
        <f t="shared" si="119"/>
        <v/>
      </c>
      <c r="O313" s="47" t="str">
        <f t="shared" si="120"/>
        <v/>
      </c>
      <c r="P313" s="47" t="str">
        <f t="shared" si="121"/>
        <v/>
      </c>
      <c r="S313" s="15">
        <f t="shared" si="122"/>
        <v>0</v>
      </c>
      <c r="T313" s="15">
        <f t="shared" si="123"/>
        <v>1</v>
      </c>
      <c r="U313" s="15" t="e">
        <f t="shared" si="124"/>
        <v>#VALUE!</v>
      </c>
      <c r="V313" s="15" t="e">
        <f t="shared" si="125"/>
        <v>#VALUE!</v>
      </c>
      <c r="W313" s="15" t="e">
        <f t="shared" si="126"/>
        <v>#VALUE!</v>
      </c>
    </row>
    <row r="314" spans="1:23" x14ac:dyDescent="0.2">
      <c r="A314" s="48" t="str">
        <f t="shared" si="109"/>
        <v/>
      </c>
      <c r="B314" s="2"/>
      <c r="C314" s="51"/>
      <c r="D314" s="51"/>
      <c r="E314" s="14" t="str">
        <f t="shared" si="110"/>
        <v/>
      </c>
      <c r="F314" s="47" t="str">
        <f t="shared" si="111"/>
        <v/>
      </c>
      <c r="G314" s="47" t="str">
        <f t="shared" si="112"/>
        <v/>
      </c>
      <c r="H314" s="49" t="str">
        <f t="shared" si="113"/>
        <v/>
      </c>
      <c r="I314" s="50" t="str">
        <f t="shared" si="114"/>
        <v/>
      </c>
      <c r="J314" s="49" t="str">
        <f t="shared" si="115"/>
        <v/>
      </c>
      <c r="K314" s="50" t="str">
        <f t="shared" si="116"/>
        <v/>
      </c>
      <c r="L314" s="47" t="str">
        <f t="shared" si="117"/>
        <v/>
      </c>
      <c r="M314" s="47" t="str">
        <f t="shared" si="118"/>
        <v/>
      </c>
      <c r="N314" s="47" t="str">
        <f t="shared" si="119"/>
        <v/>
      </c>
      <c r="O314" s="47" t="str">
        <f t="shared" si="120"/>
        <v/>
      </c>
      <c r="P314" s="47" t="str">
        <f t="shared" si="121"/>
        <v/>
      </c>
      <c r="S314" s="15">
        <f t="shared" si="122"/>
        <v>0</v>
      </c>
      <c r="T314" s="15">
        <f t="shared" si="123"/>
        <v>1</v>
      </c>
      <c r="U314" s="15" t="e">
        <f t="shared" si="124"/>
        <v>#VALUE!</v>
      </c>
      <c r="V314" s="15" t="e">
        <f t="shared" si="125"/>
        <v>#VALUE!</v>
      </c>
      <c r="W314" s="15" t="e">
        <f t="shared" si="126"/>
        <v>#VALUE!</v>
      </c>
    </row>
    <row r="315" spans="1:23" x14ac:dyDescent="0.2">
      <c r="A315" s="48" t="str">
        <f t="shared" si="109"/>
        <v/>
      </c>
      <c r="B315" s="2"/>
      <c r="C315" s="51"/>
      <c r="D315" s="51"/>
      <c r="E315" s="14" t="str">
        <f t="shared" si="110"/>
        <v/>
      </c>
      <c r="F315" s="47" t="str">
        <f t="shared" si="111"/>
        <v/>
      </c>
      <c r="G315" s="47" t="str">
        <f t="shared" si="112"/>
        <v/>
      </c>
      <c r="H315" s="49" t="str">
        <f t="shared" si="113"/>
        <v/>
      </c>
      <c r="I315" s="50" t="str">
        <f t="shared" si="114"/>
        <v/>
      </c>
      <c r="J315" s="49" t="str">
        <f t="shared" si="115"/>
        <v/>
      </c>
      <c r="K315" s="50" t="str">
        <f t="shared" si="116"/>
        <v/>
      </c>
      <c r="L315" s="47" t="str">
        <f t="shared" si="117"/>
        <v/>
      </c>
      <c r="M315" s="47" t="str">
        <f t="shared" si="118"/>
        <v/>
      </c>
      <c r="N315" s="47" t="str">
        <f t="shared" si="119"/>
        <v/>
      </c>
      <c r="O315" s="47" t="str">
        <f t="shared" si="120"/>
        <v/>
      </c>
      <c r="P315" s="47" t="str">
        <f t="shared" si="121"/>
        <v/>
      </c>
      <c r="S315" s="15">
        <f t="shared" si="122"/>
        <v>0</v>
      </c>
      <c r="T315" s="15">
        <f t="shared" si="123"/>
        <v>1</v>
      </c>
      <c r="U315" s="15" t="e">
        <f t="shared" si="124"/>
        <v>#VALUE!</v>
      </c>
      <c r="V315" s="15" t="e">
        <f t="shared" si="125"/>
        <v>#VALUE!</v>
      </c>
      <c r="W315" s="15" t="e">
        <f t="shared" si="126"/>
        <v>#VALUE!</v>
      </c>
    </row>
    <row r="316" spans="1:23" x14ac:dyDescent="0.2">
      <c r="A316" s="48" t="str">
        <f t="shared" si="109"/>
        <v/>
      </c>
      <c r="B316" s="2"/>
      <c r="C316" s="51"/>
      <c r="D316" s="51"/>
      <c r="E316" s="14" t="str">
        <f t="shared" si="110"/>
        <v/>
      </c>
      <c r="F316" s="47" t="str">
        <f t="shared" si="111"/>
        <v/>
      </c>
      <c r="G316" s="47" t="str">
        <f t="shared" si="112"/>
        <v/>
      </c>
      <c r="H316" s="49" t="str">
        <f t="shared" si="113"/>
        <v/>
      </c>
      <c r="I316" s="50" t="str">
        <f t="shared" si="114"/>
        <v/>
      </c>
      <c r="J316" s="49" t="str">
        <f t="shared" si="115"/>
        <v/>
      </c>
      <c r="K316" s="50" t="str">
        <f t="shared" si="116"/>
        <v/>
      </c>
      <c r="L316" s="47" t="str">
        <f t="shared" si="117"/>
        <v/>
      </c>
      <c r="M316" s="47" t="str">
        <f t="shared" si="118"/>
        <v/>
      </c>
      <c r="N316" s="47" t="str">
        <f t="shared" si="119"/>
        <v/>
      </c>
      <c r="O316" s="47" t="str">
        <f t="shared" si="120"/>
        <v/>
      </c>
      <c r="P316" s="47" t="str">
        <f t="shared" si="121"/>
        <v/>
      </c>
      <c r="S316" s="15">
        <f t="shared" si="122"/>
        <v>0</v>
      </c>
      <c r="T316" s="15">
        <f t="shared" si="123"/>
        <v>1</v>
      </c>
      <c r="U316" s="15" t="e">
        <f t="shared" si="124"/>
        <v>#VALUE!</v>
      </c>
      <c r="V316" s="15" t="e">
        <f t="shared" si="125"/>
        <v>#VALUE!</v>
      </c>
      <c r="W316" s="15" t="e">
        <f t="shared" si="126"/>
        <v>#VALUE!</v>
      </c>
    </row>
    <row r="317" spans="1:23" x14ac:dyDescent="0.2">
      <c r="A317" s="48" t="str">
        <f t="shared" si="109"/>
        <v/>
      </c>
      <c r="B317" s="2"/>
      <c r="C317" s="51"/>
      <c r="D317" s="51"/>
      <c r="E317" s="14" t="str">
        <f t="shared" si="110"/>
        <v/>
      </c>
      <c r="F317" s="47" t="str">
        <f t="shared" si="111"/>
        <v/>
      </c>
      <c r="G317" s="47" t="str">
        <f t="shared" si="112"/>
        <v/>
      </c>
      <c r="H317" s="49" t="str">
        <f t="shared" si="113"/>
        <v/>
      </c>
      <c r="I317" s="50" t="str">
        <f t="shared" si="114"/>
        <v/>
      </c>
      <c r="J317" s="49" t="str">
        <f t="shared" si="115"/>
        <v/>
      </c>
      <c r="K317" s="50" t="str">
        <f t="shared" si="116"/>
        <v/>
      </c>
      <c r="L317" s="47" t="str">
        <f t="shared" si="117"/>
        <v/>
      </c>
      <c r="M317" s="47" t="str">
        <f t="shared" si="118"/>
        <v/>
      </c>
      <c r="N317" s="47" t="str">
        <f t="shared" si="119"/>
        <v/>
      </c>
      <c r="O317" s="47" t="str">
        <f t="shared" si="120"/>
        <v/>
      </c>
      <c r="P317" s="47" t="str">
        <f t="shared" si="121"/>
        <v/>
      </c>
      <c r="S317" s="15">
        <f t="shared" si="122"/>
        <v>0</v>
      </c>
      <c r="T317" s="15">
        <f t="shared" si="123"/>
        <v>1</v>
      </c>
      <c r="U317" s="15" t="e">
        <f t="shared" si="124"/>
        <v>#VALUE!</v>
      </c>
      <c r="V317" s="15" t="e">
        <f t="shared" si="125"/>
        <v>#VALUE!</v>
      </c>
      <c r="W317" s="15" t="e">
        <f t="shared" si="126"/>
        <v>#VALUE!</v>
      </c>
    </row>
    <row r="318" spans="1:23" x14ac:dyDescent="0.2">
      <c r="A318" s="48" t="str">
        <f t="shared" si="109"/>
        <v/>
      </c>
      <c r="B318" s="2"/>
      <c r="C318" s="51"/>
      <c r="D318" s="51"/>
      <c r="E318" s="14" t="str">
        <f t="shared" si="110"/>
        <v/>
      </c>
      <c r="F318" s="47" t="str">
        <f t="shared" si="111"/>
        <v/>
      </c>
      <c r="G318" s="47" t="str">
        <f t="shared" si="112"/>
        <v/>
      </c>
      <c r="H318" s="49" t="str">
        <f t="shared" si="113"/>
        <v/>
      </c>
      <c r="I318" s="50" t="str">
        <f t="shared" si="114"/>
        <v/>
      </c>
      <c r="J318" s="49" t="str">
        <f t="shared" si="115"/>
        <v/>
      </c>
      <c r="K318" s="50" t="str">
        <f t="shared" si="116"/>
        <v/>
      </c>
      <c r="L318" s="47" t="str">
        <f t="shared" si="117"/>
        <v/>
      </c>
      <c r="M318" s="47" t="str">
        <f t="shared" si="118"/>
        <v/>
      </c>
      <c r="N318" s="47" t="str">
        <f t="shared" si="119"/>
        <v/>
      </c>
      <c r="O318" s="47" t="str">
        <f t="shared" si="120"/>
        <v/>
      </c>
      <c r="P318" s="47" t="str">
        <f t="shared" si="121"/>
        <v/>
      </c>
      <c r="S318" s="15">
        <f t="shared" si="122"/>
        <v>0</v>
      </c>
      <c r="T318" s="15">
        <f t="shared" si="123"/>
        <v>1</v>
      </c>
      <c r="U318" s="15" t="e">
        <f t="shared" si="124"/>
        <v>#VALUE!</v>
      </c>
      <c r="V318" s="15" t="e">
        <f t="shared" si="125"/>
        <v>#VALUE!</v>
      </c>
      <c r="W318" s="15" t="e">
        <f t="shared" si="126"/>
        <v>#VALUE!</v>
      </c>
    </row>
    <row r="319" spans="1:23" x14ac:dyDescent="0.2">
      <c r="A319" s="48" t="str">
        <f t="shared" si="109"/>
        <v/>
      </c>
      <c r="B319" s="2"/>
      <c r="C319" s="51"/>
      <c r="D319" s="51"/>
      <c r="E319" s="14" t="str">
        <f t="shared" si="110"/>
        <v/>
      </c>
      <c r="F319" s="47" t="str">
        <f t="shared" si="111"/>
        <v/>
      </c>
      <c r="G319" s="47" t="str">
        <f t="shared" si="112"/>
        <v/>
      </c>
      <c r="H319" s="49" t="str">
        <f t="shared" si="113"/>
        <v/>
      </c>
      <c r="I319" s="50" t="str">
        <f t="shared" si="114"/>
        <v/>
      </c>
      <c r="J319" s="49" t="str">
        <f t="shared" si="115"/>
        <v/>
      </c>
      <c r="K319" s="50" t="str">
        <f t="shared" si="116"/>
        <v/>
      </c>
      <c r="L319" s="47" t="str">
        <f t="shared" si="117"/>
        <v/>
      </c>
      <c r="M319" s="47" t="str">
        <f t="shared" si="118"/>
        <v/>
      </c>
      <c r="N319" s="47" t="str">
        <f t="shared" si="119"/>
        <v/>
      </c>
      <c r="O319" s="47" t="str">
        <f t="shared" si="120"/>
        <v/>
      </c>
      <c r="P319" s="47" t="str">
        <f t="shared" si="121"/>
        <v/>
      </c>
      <c r="S319" s="15">
        <f t="shared" si="122"/>
        <v>0</v>
      </c>
      <c r="T319" s="15">
        <f t="shared" si="123"/>
        <v>1</v>
      </c>
      <c r="U319" s="15" t="e">
        <f t="shared" si="124"/>
        <v>#VALUE!</v>
      </c>
      <c r="V319" s="15" t="e">
        <f t="shared" si="125"/>
        <v>#VALUE!</v>
      </c>
      <c r="W319" s="15" t="e">
        <f t="shared" si="126"/>
        <v>#VALUE!</v>
      </c>
    </row>
    <row r="320" spans="1:23" x14ac:dyDescent="0.2">
      <c r="A320" s="48" t="str">
        <f t="shared" si="109"/>
        <v/>
      </c>
      <c r="B320" s="2"/>
      <c r="C320" s="51"/>
      <c r="D320" s="51"/>
      <c r="E320" s="14" t="str">
        <f t="shared" si="110"/>
        <v/>
      </c>
      <c r="F320" s="47" t="str">
        <f t="shared" si="111"/>
        <v/>
      </c>
      <c r="G320" s="47" t="str">
        <f t="shared" si="112"/>
        <v/>
      </c>
      <c r="H320" s="49" t="str">
        <f t="shared" si="113"/>
        <v/>
      </c>
      <c r="I320" s="50" t="str">
        <f t="shared" si="114"/>
        <v/>
      </c>
      <c r="J320" s="49" t="str">
        <f t="shared" si="115"/>
        <v/>
      </c>
      <c r="K320" s="50" t="str">
        <f t="shared" si="116"/>
        <v/>
      </c>
      <c r="L320" s="47" t="str">
        <f t="shared" si="117"/>
        <v/>
      </c>
      <c r="M320" s="47" t="str">
        <f t="shared" si="118"/>
        <v/>
      </c>
      <c r="N320" s="47" t="str">
        <f t="shared" si="119"/>
        <v/>
      </c>
      <c r="O320" s="47" t="str">
        <f t="shared" si="120"/>
        <v/>
      </c>
      <c r="P320" s="47" t="str">
        <f t="shared" si="121"/>
        <v/>
      </c>
      <c r="S320" s="15">
        <f t="shared" si="122"/>
        <v>0</v>
      </c>
      <c r="T320" s="15">
        <f t="shared" si="123"/>
        <v>1</v>
      </c>
      <c r="U320" s="15" t="e">
        <f t="shared" si="124"/>
        <v>#VALUE!</v>
      </c>
      <c r="V320" s="15" t="e">
        <f t="shared" si="125"/>
        <v>#VALUE!</v>
      </c>
      <c r="W320" s="15" t="e">
        <f t="shared" si="126"/>
        <v>#VALUE!</v>
      </c>
    </row>
    <row r="321" spans="1:23" x14ac:dyDescent="0.2">
      <c r="A321" s="48" t="str">
        <f t="shared" si="109"/>
        <v/>
      </c>
      <c r="B321" s="2"/>
      <c r="C321" s="51"/>
      <c r="D321" s="51"/>
      <c r="E321" s="14" t="str">
        <f t="shared" si="110"/>
        <v/>
      </c>
      <c r="F321" s="47" t="str">
        <f t="shared" si="111"/>
        <v/>
      </c>
      <c r="G321" s="47" t="str">
        <f t="shared" si="112"/>
        <v/>
      </c>
      <c r="H321" s="49" t="str">
        <f t="shared" si="113"/>
        <v/>
      </c>
      <c r="I321" s="50" t="str">
        <f t="shared" si="114"/>
        <v/>
      </c>
      <c r="J321" s="49" t="str">
        <f t="shared" si="115"/>
        <v/>
      </c>
      <c r="K321" s="50" t="str">
        <f t="shared" si="116"/>
        <v/>
      </c>
      <c r="L321" s="47" t="str">
        <f t="shared" si="117"/>
        <v/>
      </c>
      <c r="M321" s="47" t="str">
        <f t="shared" si="118"/>
        <v/>
      </c>
      <c r="N321" s="47" t="str">
        <f t="shared" si="119"/>
        <v/>
      </c>
      <c r="O321" s="47" t="str">
        <f t="shared" si="120"/>
        <v/>
      </c>
      <c r="P321" s="47" t="str">
        <f t="shared" si="121"/>
        <v/>
      </c>
      <c r="S321" s="15">
        <f t="shared" si="122"/>
        <v>0</v>
      </c>
      <c r="T321" s="15">
        <f t="shared" si="123"/>
        <v>1</v>
      </c>
      <c r="U321" s="15" t="e">
        <f t="shared" si="124"/>
        <v>#VALUE!</v>
      </c>
      <c r="V321" s="15" t="e">
        <f t="shared" si="125"/>
        <v>#VALUE!</v>
      </c>
      <c r="W321" s="15" t="e">
        <f t="shared" si="126"/>
        <v>#VALUE!</v>
      </c>
    </row>
    <row r="322" spans="1:23" x14ac:dyDescent="0.2">
      <c r="A322" s="48" t="str">
        <f t="shared" si="109"/>
        <v/>
      </c>
      <c r="B322" s="2"/>
      <c r="C322" s="51"/>
      <c r="D322" s="51"/>
      <c r="E322" s="14" t="str">
        <f t="shared" si="110"/>
        <v/>
      </c>
      <c r="F322" s="47" t="str">
        <f t="shared" si="111"/>
        <v/>
      </c>
      <c r="G322" s="47" t="str">
        <f t="shared" si="112"/>
        <v/>
      </c>
      <c r="H322" s="49" t="str">
        <f t="shared" si="113"/>
        <v/>
      </c>
      <c r="I322" s="50" t="str">
        <f t="shared" si="114"/>
        <v/>
      </c>
      <c r="J322" s="49" t="str">
        <f t="shared" si="115"/>
        <v/>
      </c>
      <c r="K322" s="50" t="str">
        <f t="shared" si="116"/>
        <v/>
      </c>
      <c r="L322" s="47" t="str">
        <f t="shared" si="117"/>
        <v/>
      </c>
      <c r="M322" s="47" t="str">
        <f t="shared" si="118"/>
        <v/>
      </c>
      <c r="N322" s="47" t="str">
        <f t="shared" si="119"/>
        <v/>
      </c>
      <c r="O322" s="47" t="str">
        <f t="shared" si="120"/>
        <v/>
      </c>
      <c r="P322" s="47" t="str">
        <f t="shared" si="121"/>
        <v/>
      </c>
      <c r="S322" s="15">
        <f t="shared" si="122"/>
        <v>0</v>
      </c>
      <c r="T322" s="15">
        <f t="shared" si="123"/>
        <v>1</v>
      </c>
      <c r="U322" s="15" t="e">
        <f t="shared" si="124"/>
        <v>#VALUE!</v>
      </c>
      <c r="V322" s="15" t="e">
        <f t="shared" si="125"/>
        <v>#VALUE!</v>
      </c>
      <c r="W322" s="15" t="e">
        <f t="shared" si="126"/>
        <v>#VALUE!</v>
      </c>
    </row>
    <row r="323" spans="1:23" x14ac:dyDescent="0.2">
      <c r="A323" s="48" t="str">
        <f t="shared" si="109"/>
        <v/>
      </c>
      <c r="B323" s="2"/>
      <c r="C323" s="51"/>
      <c r="D323" s="51"/>
      <c r="E323" s="14" t="str">
        <f t="shared" si="110"/>
        <v/>
      </c>
      <c r="F323" s="47" t="str">
        <f t="shared" si="111"/>
        <v/>
      </c>
      <c r="G323" s="47" t="str">
        <f t="shared" si="112"/>
        <v/>
      </c>
      <c r="H323" s="49" t="str">
        <f t="shared" si="113"/>
        <v/>
      </c>
      <c r="I323" s="50" t="str">
        <f t="shared" si="114"/>
        <v/>
      </c>
      <c r="J323" s="49" t="str">
        <f t="shared" si="115"/>
        <v/>
      </c>
      <c r="K323" s="50" t="str">
        <f t="shared" si="116"/>
        <v/>
      </c>
      <c r="L323" s="47" t="str">
        <f t="shared" si="117"/>
        <v/>
      </c>
      <c r="M323" s="47" t="str">
        <f t="shared" si="118"/>
        <v/>
      </c>
      <c r="N323" s="47" t="str">
        <f t="shared" si="119"/>
        <v/>
      </c>
      <c r="O323" s="47" t="str">
        <f t="shared" si="120"/>
        <v/>
      </c>
      <c r="P323" s="47" t="str">
        <f t="shared" si="121"/>
        <v/>
      </c>
      <c r="S323" s="15">
        <f t="shared" si="122"/>
        <v>0</v>
      </c>
      <c r="T323" s="15">
        <f t="shared" si="123"/>
        <v>1</v>
      </c>
      <c r="U323" s="15" t="e">
        <f t="shared" si="124"/>
        <v>#VALUE!</v>
      </c>
      <c r="V323" s="15" t="e">
        <f t="shared" si="125"/>
        <v>#VALUE!</v>
      </c>
      <c r="W323" s="15" t="e">
        <f t="shared" si="126"/>
        <v>#VALUE!</v>
      </c>
    </row>
    <row r="324" spans="1:23" x14ac:dyDescent="0.2">
      <c r="A324" s="48" t="str">
        <f t="shared" si="109"/>
        <v/>
      </c>
      <c r="B324" s="2"/>
      <c r="C324" s="51"/>
      <c r="D324" s="51"/>
      <c r="E324" s="14" t="str">
        <f t="shared" si="110"/>
        <v/>
      </c>
      <c r="F324" s="47" t="str">
        <f t="shared" si="111"/>
        <v/>
      </c>
      <c r="G324" s="47" t="str">
        <f t="shared" si="112"/>
        <v/>
      </c>
      <c r="H324" s="49" t="str">
        <f t="shared" si="113"/>
        <v/>
      </c>
      <c r="I324" s="50" t="str">
        <f t="shared" si="114"/>
        <v/>
      </c>
      <c r="J324" s="49" t="str">
        <f t="shared" si="115"/>
        <v/>
      </c>
      <c r="K324" s="50" t="str">
        <f t="shared" si="116"/>
        <v/>
      </c>
      <c r="L324" s="47" t="str">
        <f t="shared" si="117"/>
        <v/>
      </c>
      <c r="M324" s="47" t="str">
        <f t="shared" si="118"/>
        <v/>
      </c>
      <c r="N324" s="47" t="str">
        <f t="shared" si="119"/>
        <v/>
      </c>
      <c r="O324" s="47" t="str">
        <f t="shared" si="120"/>
        <v/>
      </c>
      <c r="P324" s="47" t="str">
        <f t="shared" si="121"/>
        <v/>
      </c>
      <c r="S324" s="15">
        <f t="shared" si="122"/>
        <v>0</v>
      </c>
      <c r="T324" s="15">
        <f t="shared" si="123"/>
        <v>1</v>
      </c>
      <c r="U324" s="15" t="e">
        <f t="shared" si="124"/>
        <v>#VALUE!</v>
      </c>
      <c r="V324" s="15" t="e">
        <f t="shared" si="125"/>
        <v>#VALUE!</v>
      </c>
      <c r="W324" s="15" t="e">
        <f t="shared" si="126"/>
        <v>#VALUE!</v>
      </c>
    </row>
    <row r="325" spans="1:23" x14ac:dyDescent="0.2">
      <c r="A325" s="48" t="str">
        <f t="shared" si="109"/>
        <v/>
      </c>
      <c r="B325" s="2"/>
      <c r="C325" s="51"/>
      <c r="D325" s="51"/>
      <c r="E325" s="14" t="str">
        <f t="shared" si="110"/>
        <v/>
      </c>
      <c r="F325" s="47" t="str">
        <f t="shared" si="111"/>
        <v/>
      </c>
      <c r="G325" s="47" t="str">
        <f t="shared" si="112"/>
        <v/>
      </c>
      <c r="H325" s="49" t="str">
        <f t="shared" si="113"/>
        <v/>
      </c>
      <c r="I325" s="50" t="str">
        <f t="shared" si="114"/>
        <v/>
      </c>
      <c r="J325" s="49" t="str">
        <f t="shared" si="115"/>
        <v/>
      </c>
      <c r="K325" s="50" t="str">
        <f t="shared" si="116"/>
        <v/>
      </c>
      <c r="L325" s="47" t="str">
        <f t="shared" si="117"/>
        <v/>
      </c>
      <c r="M325" s="47" t="str">
        <f t="shared" si="118"/>
        <v/>
      </c>
      <c r="N325" s="47" t="str">
        <f t="shared" si="119"/>
        <v/>
      </c>
      <c r="O325" s="47" t="str">
        <f t="shared" si="120"/>
        <v/>
      </c>
      <c r="P325" s="47" t="str">
        <f t="shared" si="121"/>
        <v/>
      </c>
      <c r="S325" s="15">
        <f t="shared" si="122"/>
        <v>0</v>
      </c>
      <c r="T325" s="15">
        <f t="shared" si="123"/>
        <v>1</v>
      </c>
      <c r="U325" s="15" t="e">
        <f t="shared" si="124"/>
        <v>#VALUE!</v>
      </c>
      <c r="V325" s="15" t="e">
        <f t="shared" si="125"/>
        <v>#VALUE!</v>
      </c>
      <c r="W325" s="15" t="e">
        <f t="shared" si="126"/>
        <v>#VALUE!</v>
      </c>
    </row>
    <row r="326" spans="1:23" x14ac:dyDescent="0.2">
      <c r="A326" s="48" t="str">
        <f t="shared" si="109"/>
        <v/>
      </c>
      <c r="B326" s="2"/>
      <c r="C326" s="51"/>
      <c r="D326" s="51"/>
      <c r="E326" s="14" t="str">
        <f t="shared" si="110"/>
        <v/>
      </c>
      <c r="F326" s="47" t="str">
        <f t="shared" si="111"/>
        <v/>
      </c>
      <c r="G326" s="47" t="str">
        <f t="shared" si="112"/>
        <v/>
      </c>
      <c r="H326" s="49" t="str">
        <f t="shared" si="113"/>
        <v/>
      </c>
      <c r="I326" s="50" t="str">
        <f t="shared" si="114"/>
        <v/>
      </c>
      <c r="J326" s="49" t="str">
        <f t="shared" si="115"/>
        <v/>
      </c>
      <c r="K326" s="50" t="str">
        <f t="shared" si="116"/>
        <v/>
      </c>
      <c r="L326" s="47" t="str">
        <f t="shared" si="117"/>
        <v/>
      </c>
      <c r="M326" s="47" t="str">
        <f t="shared" si="118"/>
        <v/>
      </c>
      <c r="N326" s="47" t="str">
        <f t="shared" si="119"/>
        <v/>
      </c>
      <c r="O326" s="47" t="str">
        <f t="shared" si="120"/>
        <v/>
      </c>
      <c r="P326" s="47" t="str">
        <f t="shared" si="121"/>
        <v/>
      </c>
      <c r="S326" s="15">
        <f t="shared" si="122"/>
        <v>0</v>
      </c>
      <c r="T326" s="15">
        <f t="shared" si="123"/>
        <v>1</v>
      </c>
      <c r="U326" s="15" t="e">
        <f t="shared" si="124"/>
        <v>#VALUE!</v>
      </c>
      <c r="V326" s="15" t="e">
        <f t="shared" si="125"/>
        <v>#VALUE!</v>
      </c>
      <c r="W326" s="15" t="e">
        <f t="shared" si="126"/>
        <v>#VALUE!</v>
      </c>
    </row>
    <row r="327" spans="1:23" x14ac:dyDescent="0.2">
      <c r="A327" s="48" t="str">
        <f t="shared" si="109"/>
        <v/>
      </c>
      <c r="B327" s="2"/>
      <c r="C327" s="51"/>
      <c r="D327" s="51"/>
      <c r="E327" s="14" t="str">
        <f t="shared" si="110"/>
        <v/>
      </c>
      <c r="F327" s="47" t="str">
        <f t="shared" si="111"/>
        <v/>
      </c>
      <c r="G327" s="47" t="str">
        <f t="shared" si="112"/>
        <v/>
      </c>
      <c r="H327" s="49" t="str">
        <f t="shared" si="113"/>
        <v/>
      </c>
      <c r="I327" s="50" t="str">
        <f t="shared" si="114"/>
        <v/>
      </c>
      <c r="J327" s="49" t="str">
        <f t="shared" si="115"/>
        <v/>
      </c>
      <c r="K327" s="50" t="str">
        <f t="shared" si="116"/>
        <v/>
      </c>
      <c r="L327" s="47" t="str">
        <f t="shared" si="117"/>
        <v/>
      </c>
      <c r="M327" s="47" t="str">
        <f t="shared" si="118"/>
        <v/>
      </c>
      <c r="N327" s="47" t="str">
        <f t="shared" si="119"/>
        <v/>
      </c>
      <c r="O327" s="47" t="str">
        <f t="shared" si="120"/>
        <v/>
      </c>
      <c r="P327" s="47" t="str">
        <f t="shared" si="121"/>
        <v/>
      </c>
      <c r="S327" s="15">
        <f t="shared" si="122"/>
        <v>0</v>
      </c>
      <c r="T327" s="15">
        <f t="shared" si="123"/>
        <v>1</v>
      </c>
      <c r="U327" s="15" t="e">
        <f t="shared" si="124"/>
        <v>#VALUE!</v>
      </c>
      <c r="V327" s="15" t="e">
        <f t="shared" si="125"/>
        <v>#VALUE!</v>
      </c>
      <c r="W327" s="15" t="e">
        <f t="shared" si="126"/>
        <v>#VALUE!</v>
      </c>
    </row>
    <row r="328" spans="1:23" x14ac:dyDescent="0.2">
      <c r="A328" s="48" t="str">
        <f t="shared" si="109"/>
        <v/>
      </c>
      <c r="B328" s="2"/>
      <c r="C328" s="51"/>
      <c r="D328" s="51"/>
      <c r="E328" s="14" t="str">
        <f t="shared" si="110"/>
        <v/>
      </c>
      <c r="F328" s="47" t="str">
        <f t="shared" si="111"/>
        <v/>
      </c>
      <c r="G328" s="47" t="str">
        <f t="shared" si="112"/>
        <v/>
      </c>
      <c r="H328" s="49" t="str">
        <f t="shared" si="113"/>
        <v/>
      </c>
      <c r="I328" s="50" t="str">
        <f t="shared" si="114"/>
        <v/>
      </c>
      <c r="J328" s="49" t="str">
        <f t="shared" si="115"/>
        <v/>
      </c>
      <c r="K328" s="50" t="str">
        <f t="shared" si="116"/>
        <v/>
      </c>
      <c r="L328" s="47" t="str">
        <f t="shared" si="117"/>
        <v/>
      </c>
      <c r="M328" s="47" t="str">
        <f t="shared" si="118"/>
        <v/>
      </c>
      <c r="N328" s="47" t="str">
        <f t="shared" si="119"/>
        <v/>
      </c>
      <c r="O328" s="47" t="str">
        <f t="shared" si="120"/>
        <v/>
      </c>
      <c r="P328" s="47" t="str">
        <f t="shared" si="121"/>
        <v/>
      </c>
      <c r="S328" s="15">
        <f t="shared" si="122"/>
        <v>0</v>
      </c>
      <c r="T328" s="15">
        <f t="shared" si="123"/>
        <v>1</v>
      </c>
      <c r="U328" s="15" t="e">
        <f t="shared" si="124"/>
        <v>#VALUE!</v>
      </c>
      <c r="V328" s="15" t="e">
        <f t="shared" si="125"/>
        <v>#VALUE!</v>
      </c>
      <c r="W328" s="15" t="e">
        <f t="shared" si="126"/>
        <v>#VALUE!</v>
      </c>
    </row>
    <row r="329" spans="1:23" x14ac:dyDescent="0.2">
      <c r="A329" s="48" t="str">
        <f t="shared" si="109"/>
        <v/>
      </c>
      <c r="B329" s="2"/>
      <c r="C329" s="51"/>
      <c r="D329" s="51"/>
      <c r="E329" s="14" t="str">
        <f t="shared" si="110"/>
        <v/>
      </c>
      <c r="F329" s="47" t="str">
        <f t="shared" si="111"/>
        <v/>
      </c>
      <c r="G329" s="47" t="str">
        <f t="shared" si="112"/>
        <v/>
      </c>
      <c r="H329" s="49" t="str">
        <f t="shared" si="113"/>
        <v/>
      </c>
      <c r="I329" s="50" t="str">
        <f t="shared" si="114"/>
        <v/>
      </c>
      <c r="J329" s="49" t="str">
        <f t="shared" si="115"/>
        <v/>
      </c>
      <c r="K329" s="50" t="str">
        <f t="shared" si="116"/>
        <v/>
      </c>
      <c r="L329" s="47" t="str">
        <f t="shared" si="117"/>
        <v/>
      </c>
      <c r="M329" s="47" t="str">
        <f t="shared" si="118"/>
        <v/>
      </c>
      <c r="N329" s="47" t="str">
        <f t="shared" si="119"/>
        <v/>
      </c>
      <c r="O329" s="47" t="str">
        <f t="shared" si="120"/>
        <v/>
      </c>
      <c r="P329" s="47" t="str">
        <f t="shared" si="121"/>
        <v/>
      </c>
      <c r="S329" s="15">
        <f t="shared" si="122"/>
        <v>0</v>
      </c>
      <c r="T329" s="15">
        <f t="shared" si="123"/>
        <v>1</v>
      </c>
      <c r="U329" s="15" t="e">
        <f t="shared" si="124"/>
        <v>#VALUE!</v>
      </c>
      <c r="V329" s="15" t="e">
        <f t="shared" si="125"/>
        <v>#VALUE!</v>
      </c>
      <c r="W329" s="15" t="e">
        <f t="shared" si="126"/>
        <v>#VALUE!</v>
      </c>
    </row>
    <row r="330" spans="1:23" x14ac:dyDescent="0.2">
      <c r="A330" s="48" t="str">
        <f t="shared" si="109"/>
        <v/>
      </c>
      <c r="B330" s="2"/>
      <c r="C330" s="51"/>
      <c r="D330" s="51"/>
      <c r="E330" s="14" t="str">
        <f t="shared" si="110"/>
        <v/>
      </c>
      <c r="F330" s="47" t="str">
        <f t="shared" si="111"/>
        <v/>
      </c>
      <c r="G330" s="47" t="str">
        <f t="shared" si="112"/>
        <v/>
      </c>
      <c r="H330" s="49" t="str">
        <f t="shared" si="113"/>
        <v/>
      </c>
      <c r="I330" s="50" t="str">
        <f t="shared" si="114"/>
        <v/>
      </c>
      <c r="J330" s="49" t="str">
        <f t="shared" si="115"/>
        <v/>
      </c>
      <c r="K330" s="50" t="str">
        <f t="shared" si="116"/>
        <v/>
      </c>
      <c r="L330" s="47" t="str">
        <f t="shared" si="117"/>
        <v/>
      </c>
      <c r="M330" s="47" t="str">
        <f t="shared" si="118"/>
        <v/>
      </c>
      <c r="N330" s="47" t="str">
        <f t="shared" si="119"/>
        <v/>
      </c>
      <c r="O330" s="47" t="str">
        <f t="shared" si="120"/>
        <v/>
      </c>
      <c r="P330" s="47" t="str">
        <f t="shared" si="121"/>
        <v/>
      </c>
      <c r="S330" s="15">
        <f t="shared" si="122"/>
        <v>0</v>
      </c>
      <c r="T330" s="15">
        <f t="shared" si="123"/>
        <v>1</v>
      </c>
      <c r="U330" s="15" t="e">
        <f t="shared" si="124"/>
        <v>#VALUE!</v>
      </c>
      <c r="V330" s="15" t="e">
        <f t="shared" si="125"/>
        <v>#VALUE!</v>
      </c>
      <c r="W330" s="15" t="e">
        <f t="shared" si="126"/>
        <v>#VALUE!</v>
      </c>
    </row>
    <row r="331" spans="1:23" x14ac:dyDescent="0.2">
      <c r="A331" s="48" t="str">
        <f t="shared" si="109"/>
        <v/>
      </c>
      <c r="B331" s="2"/>
      <c r="C331" s="51"/>
      <c r="D331" s="51"/>
      <c r="E331" s="14" t="str">
        <f t="shared" si="110"/>
        <v/>
      </c>
      <c r="F331" s="47" t="str">
        <f t="shared" si="111"/>
        <v/>
      </c>
      <c r="G331" s="47" t="str">
        <f t="shared" si="112"/>
        <v/>
      </c>
      <c r="H331" s="49" t="str">
        <f t="shared" si="113"/>
        <v/>
      </c>
      <c r="I331" s="50" t="str">
        <f t="shared" si="114"/>
        <v/>
      </c>
      <c r="J331" s="49" t="str">
        <f t="shared" si="115"/>
        <v/>
      </c>
      <c r="K331" s="50" t="str">
        <f t="shared" si="116"/>
        <v/>
      </c>
      <c r="L331" s="47" t="str">
        <f t="shared" si="117"/>
        <v/>
      </c>
      <c r="M331" s="47" t="str">
        <f t="shared" si="118"/>
        <v/>
      </c>
      <c r="N331" s="47" t="str">
        <f t="shared" si="119"/>
        <v/>
      </c>
      <c r="O331" s="47" t="str">
        <f t="shared" si="120"/>
        <v/>
      </c>
      <c r="P331" s="47" t="str">
        <f t="shared" si="121"/>
        <v/>
      </c>
      <c r="S331" s="15">
        <f t="shared" si="122"/>
        <v>0</v>
      </c>
      <c r="T331" s="15">
        <f t="shared" si="123"/>
        <v>1</v>
      </c>
      <c r="U331" s="15" t="e">
        <f t="shared" si="124"/>
        <v>#VALUE!</v>
      </c>
      <c r="V331" s="15" t="e">
        <f t="shared" si="125"/>
        <v>#VALUE!</v>
      </c>
      <c r="W331" s="15" t="e">
        <f t="shared" si="126"/>
        <v>#VALUE!</v>
      </c>
    </row>
    <row r="332" spans="1:23" x14ac:dyDescent="0.2">
      <c r="A332" s="48" t="str">
        <f t="shared" si="109"/>
        <v/>
      </c>
      <c r="B332" s="2"/>
      <c r="C332" s="51"/>
      <c r="D332" s="51"/>
      <c r="E332" s="14" t="str">
        <f t="shared" si="110"/>
        <v/>
      </c>
      <c r="F332" s="47" t="str">
        <f t="shared" si="111"/>
        <v/>
      </c>
      <c r="G332" s="47" t="str">
        <f t="shared" si="112"/>
        <v/>
      </c>
      <c r="H332" s="49" t="str">
        <f t="shared" si="113"/>
        <v/>
      </c>
      <c r="I332" s="50" t="str">
        <f t="shared" si="114"/>
        <v/>
      </c>
      <c r="J332" s="49" t="str">
        <f t="shared" si="115"/>
        <v/>
      </c>
      <c r="K332" s="50" t="str">
        <f t="shared" si="116"/>
        <v/>
      </c>
      <c r="L332" s="47" t="str">
        <f t="shared" si="117"/>
        <v/>
      </c>
      <c r="M332" s="47" t="str">
        <f t="shared" si="118"/>
        <v/>
      </c>
      <c r="N332" s="47" t="str">
        <f t="shared" si="119"/>
        <v/>
      </c>
      <c r="O332" s="47" t="str">
        <f t="shared" si="120"/>
        <v/>
      </c>
      <c r="P332" s="47" t="str">
        <f t="shared" si="121"/>
        <v/>
      </c>
      <c r="S332" s="15">
        <f t="shared" si="122"/>
        <v>0</v>
      </c>
      <c r="T332" s="15">
        <f t="shared" si="123"/>
        <v>1</v>
      </c>
      <c r="U332" s="15" t="e">
        <f t="shared" si="124"/>
        <v>#VALUE!</v>
      </c>
      <c r="V332" s="15" t="e">
        <f t="shared" si="125"/>
        <v>#VALUE!</v>
      </c>
      <c r="W332" s="15" t="e">
        <f t="shared" si="126"/>
        <v>#VALUE!</v>
      </c>
    </row>
    <row r="333" spans="1:23" x14ac:dyDescent="0.2">
      <c r="A333" s="48" t="str">
        <f t="shared" ref="A333:A361" si="127">IF(B333="","",IF(AND(B333&lt;&gt;"",B334=""),"Proj.",A332+1))</f>
        <v/>
      </c>
      <c r="B333" s="2"/>
      <c r="C333" s="51"/>
      <c r="D333" s="51"/>
      <c r="E333" s="14" t="str">
        <f t="shared" si="110"/>
        <v/>
      </c>
      <c r="F333" s="47" t="str">
        <f t="shared" si="111"/>
        <v/>
      </c>
      <c r="G333" s="47" t="str">
        <f t="shared" si="112"/>
        <v/>
      </c>
      <c r="H333" s="49" t="str">
        <f t="shared" si="113"/>
        <v/>
      </c>
      <c r="I333" s="50" t="str">
        <f t="shared" si="114"/>
        <v/>
      </c>
      <c r="J333" s="49" t="str">
        <f t="shared" si="115"/>
        <v/>
      </c>
      <c r="K333" s="50" t="str">
        <f t="shared" si="116"/>
        <v/>
      </c>
      <c r="L333" s="47" t="str">
        <f t="shared" si="117"/>
        <v/>
      </c>
      <c r="M333" s="47" t="str">
        <f t="shared" si="118"/>
        <v/>
      </c>
      <c r="N333" s="47" t="str">
        <f t="shared" si="119"/>
        <v/>
      </c>
      <c r="O333" s="47" t="str">
        <f t="shared" si="120"/>
        <v/>
      </c>
      <c r="P333" s="47" t="str">
        <f t="shared" si="121"/>
        <v/>
      </c>
      <c r="S333" s="15">
        <f t="shared" si="122"/>
        <v>0</v>
      </c>
      <c r="T333" s="15">
        <f t="shared" si="123"/>
        <v>1</v>
      </c>
      <c r="U333" s="15" t="e">
        <f t="shared" si="124"/>
        <v>#VALUE!</v>
      </c>
      <c r="V333" s="15" t="e">
        <f t="shared" si="125"/>
        <v>#VALUE!</v>
      </c>
      <c r="W333" s="15" t="e">
        <f t="shared" si="126"/>
        <v>#VALUE!</v>
      </c>
    </row>
    <row r="334" spans="1:23" x14ac:dyDescent="0.2">
      <c r="A334" s="48" t="str">
        <f t="shared" si="127"/>
        <v/>
      </c>
      <c r="B334" s="2"/>
      <c r="C334" s="51"/>
      <c r="D334" s="51"/>
      <c r="E334" s="14" t="str">
        <f t="shared" si="110"/>
        <v/>
      </c>
      <c r="F334" s="47" t="str">
        <f t="shared" si="111"/>
        <v/>
      </c>
      <c r="G334" s="47" t="str">
        <f t="shared" si="112"/>
        <v/>
      </c>
      <c r="H334" s="49" t="str">
        <f t="shared" si="113"/>
        <v/>
      </c>
      <c r="I334" s="50" t="str">
        <f t="shared" si="114"/>
        <v/>
      </c>
      <c r="J334" s="49" t="str">
        <f t="shared" si="115"/>
        <v/>
      </c>
      <c r="K334" s="50" t="str">
        <f t="shared" si="116"/>
        <v/>
      </c>
      <c r="L334" s="47" t="str">
        <f t="shared" si="117"/>
        <v/>
      </c>
      <c r="M334" s="47" t="str">
        <f t="shared" si="118"/>
        <v/>
      </c>
      <c r="N334" s="47" t="str">
        <f t="shared" si="119"/>
        <v/>
      </c>
      <c r="O334" s="47" t="str">
        <f t="shared" si="120"/>
        <v/>
      </c>
      <c r="P334" s="47" t="str">
        <f t="shared" si="121"/>
        <v/>
      </c>
      <c r="S334" s="15">
        <f t="shared" si="122"/>
        <v>0</v>
      </c>
      <c r="T334" s="15">
        <f t="shared" si="123"/>
        <v>1</v>
      </c>
      <c r="U334" s="15" t="e">
        <f t="shared" si="124"/>
        <v>#VALUE!</v>
      </c>
      <c r="V334" s="15" t="e">
        <f t="shared" si="125"/>
        <v>#VALUE!</v>
      </c>
      <c r="W334" s="15" t="e">
        <f t="shared" si="126"/>
        <v>#VALUE!</v>
      </c>
    </row>
    <row r="335" spans="1:23" x14ac:dyDescent="0.2">
      <c r="A335" s="48" t="str">
        <f t="shared" si="127"/>
        <v/>
      </c>
      <c r="B335" s="2"/>
      <c r="C335" s="51"/>
      <c r="D335" s="51"/>
      <c r="E335" s="14" t="str">
        <f t="shared" si="110"/>
        <v/>
      </c>
      <c r="F335" s="47" t="str">
        <f t="shared" si="111"/>
        <v/>
      </c>
      <c r="G335" s="47" t="str">
        <f t="shared" si="112"/>
        <v/>
      </c>
      <c r="H335" s="49" t="str">
        <f t="shared" si="113"/>
        <v/>
      </c>
      <c r="I335" s="50" t="str">
        <f t="shared" si="114"/>
        <v/>
      </c>
      <c r="J335" s="49" t="str">
        <f t="shared" si="115"/>
        <v/>
      </c>
      <c r="K335" s="50" t="str">
        <f t="shared" si="116"/>
        <v/>
      </c>
      <c r="L335" s="47" t="str">
        <f t="shared" si="117"/>
        <v/>
      </c>
      <c r="M335" s="47" t="str">
        <f t="shared" si="118"/>
        <v/>
      </c>
      <c r="N335" s="47" t="str">
        <f t="shared" si="119"/>
        <v/>
      </c>
      <c r="O335" s="47" t="str">
        <f t="shared" si="120"/>
        <v/>
      </c>
      <c r="P335" s="47" t="str">
        <f t="shared" si="121"/>
        <v/>
      </c>
      <c r="S335" s="15">
        <f t="shared" si="122"/>
        <v>0</v>
      </c>
      <c r="T335" s="15">
        <f t="shared" si="123"/>
        <v>1</v>
      </c>
      <c r="U335" s="15" t="e">
        <f t="shared" si="124"/>
        <v>#VALUE!</v>
      </c>
      <c r="V335" s="15" t="e">
        <f t="shared" si="125"/>
        <v>#VALUE!</v>
      </c>
      <c r="W335" s="15" t="e">
        <f t="shared" si="126"/>
        <v>#VALUE!</v>
      </c>
    </row>
    <row r="336" spans="1:23" x14ac:dyDescent="0.2">
      <c r="A336" s="48" t="str">
        <f t="shared" si="127"/>
        <v/>
      </c>
      <c r="B336" s="2"/>
      <c r="C336" s="51"/>
      <c r="D336" s="51"/>
      <c r="E336" s="14" t="str">
        <f t="shared" si="110"/>
        <v/>
      </c>
      <c r="F336" s="47" t="str">
        <f t="shared" si="111"/>
        <v/>
      </c>
      <c r="G336" s="47" t="str">
        <f t="shared" si="112"/>
        <v/>
      </c>
      <c r="H336" s="49" t="str">
        <f t="shared" si="113"/>
        <v/>
      </c>
      <c r="I336" s="50" t="str">
        <f t="shared" si="114"/>
        <v/>
      </c>
      <c r="J336" s="49" t="str">
        <f t="shared" si="115"/>
        <v/>
      </c>
      <c r="K336" s="50" t="str">
        <f t="shared" si="116"/>
        <v/>
      </c>
      <c r="L336" s="47" t="str">
        <f t="shared" si="117"/>
        <v/>
      </c>
      <c r="M336" s="47" t="str">
        <f t="shared" si="118"/>
        <v/>
      </c>
      <c r="N336" s="47" t="str">
        <f t="shared" si="119"/>
        <v/>
      </c>
      <c r="O336" s="47" t="str">
        <f t="shared" si="120"/>
        <v/>
      </c>
      <c r="P336" s="47" t="str">
        <f t="shared" si="121"/>
        <v/>
      </c>
      <c r="S336" s="15">
        <f t="shared" si="122"/>
        <v>0</v>
      </c>
      <c r="T336" s="15">
        <f t="shared" si="123"/>
        <v>1</v>
      </c>
      <c r="U336" s="15" t="e">
        <f t="shared" si="124"/>
        <v>#VALUE!</v>
      </c>
      <c r="V336" s="15" t="e">
        <f t="shared" si="125"/>
        <v>#VALUE!</v>
      </c>
      <c r="W336" s="15" t="e">
        <f t="shared" si="126"/>
        <v>#VALUE!</v>
      </c>
    </row>
    <row r="337" spans="1:23" x14ac:dyDescent="0.2">
      <c r="A337" s="48" t="str">
        <f t="shared" si="127"/>
        <v/>
      </c>
      <c r="B337" s="2"/>
      <c r="C337" s="51"/>
      <c r="D337" s="51"/>
      <c r="E337" s="14" t="str">
        <f t="shared" si="110"/>
        <v/>
      </c>
      <c r="F337" s="47" t="str">
        <f t="shared" si="111"/>
        <v/>
      </c>
      <c r="G337" s="47" t="str">
        <f t="shared" si="112"/>
        <v/>
      </c>
      <c r="H337" s="49" t="str">
        <f t="shared" si="113"/>
        <v/>
      </c>
      <c r="I337" s="50" t="str">
        <f t="shared" si="114"/>
        <v/>
      </c>
      <c r="J337" s="49" t="str">
        <f t="shared" si="115"/>
        <v/>
      </c>
      <c r="K337" s="50" t="str">
        <f t="shared" si="116"/>
        <v/>
      </c>
      <c r="L337" s="47" t="str">
        <f t="shared" si="117"/>
        <v/>
      </c>
      <c r="M337" s="47" t="str">
        <f t="shared" si="118"/>
        <v/>
      </c>
      <c r="N337" s="47" t="str">
        <f t="shared" si="119"/>
        <v/>
      </c>
      <c r="O337" s="47" t="str">
        <f t="shared" si="120"/>
        <v/>
      </c>
      <c r="P337" s="47" t="str">
        <f t="shared" si="121"/>
        <v/>
      </c>
      <c r="S337" s="15">
        <f t="shared" si="122"/>
        <v>0</v>
      </c>
      <c r="T337" s="15">
        <f t="shared" si="123"/>
        <v>1</v>
      </c>
      <c r="U337" s="15" t="e">
        <f t="shared" si="124"/>
        <v>#VALUE!</v>
      </c>
      <c r="V337" s="15" t="e">
        <f t="shared" si="125"/>
        <v>#VALUE!</v>
      </c>
      <c r="W337" s="15" t="e">
        <f t="shared" si="126"/>
        <v>#VALUE!</v>
      </c>
    </row>
    <row r="338" spans="1:23" x14ac:dyDescent="0.2">
      <c r="A338" s="48" t="str">
        <f t="shared" si="127"/>
        <v/>
      </c>
      <c r="B338" s="2"/>
      <c r="C338" s="51"/>
      <c r="D338" s="51"/>
      <c r="E338" s="14" t="str">
        <f t="shared" si="110"/>
        <v/>
      </c>
      <c r="F338" s="47" t="str">
        <f t="shared" si="111"/>
        <v/>
      </c>
      <c r="G338" s="47" t="str">
        <f t="shared" si="112"/>
        <v/>
      </c>
      <c r="H338" s="49" t="str">
        <f t="shared" si="113"/>
        <v/>
      </c>
      <c r="I338" s="50" t="str">
        <f t="shared" si="114"/>
        <v/>
      </c>
      <c r="J338" s="49" t="str">
        <f t="shared" si="115"/>
        <v/>
      </c>
      <c r="K338" s="50" t="str">
        <f t="shared" si="116"/>
        <v/>
      </c>
      <c r="L338" s="47" t="str">
        <f t="shared" si="117"/>
        <v/>
      </c>
      <c r="M338" s="47" t="str">
        <f t="shared" si="118"/>
        <v/>
      </c>
      <c r="N338" s="47" t="str">
        <f t="shared" si="119"/>
        <v/>
      </c>
      <c r="O338" s="47" t="str">
        <f t="shared" si="120"/>
        <v/>
      </c>
      <c r="P338" s="47" t="str">
        <f t="shared" si="121"/>
        <v/>
      </c>
      <c r="S338" s="15">
        <f t="shared" si="122"/>
        <v>0</v>
      </c>
      <c r="T338" s="15">
        <f t="shared" si="123"/>
        <v>1</v>
      </c>
      <c r="U338" s="15" t="e">
        <f t="shared" si="124"/>
        <v>#VALUE!</v>
      </c>
      <c r="V338" s="15" t="e">
        <f t="shared" si="125"/>
        <v>#VALUE!</v>
      </c>
      <c r="W338" s="15" t="e">
        <f t="shared" si="126"/>
        <v>#VALUE!</v>
      </c>
    </row>
    <row r="339" spans="1:23" x14ac:dyDescent="0.2">
      <c r="A339" s="48" t="str">
        <f t="shared" si="127"/>
        <v/>
      </c>
      <c r="B339" s="2"/>
      <c r="C339" s="51"/>
      <c r="D339" s="51"/>
      <c r="E339" s="14" t="str">
        <f t="shared" si="110"/>
        <v/>
      </c>
      <c r="F339" s="47" t="str">
        <f t="shared" si="111"/>
        <v/>
      </c>
      <c r="G339" s="47" t="str">
        <f t="shared" si="112"/>
        <v/>
      </c>
      <c r="H339" s="49" t="str">
        <f t="shared" si="113"/>
        <v/>
      </c>
      <c r="I339" s="50" t="str">
        <f t="shared" si="114"/>
        <v/>
      </c>
      <c r="J339" s="49" t="str">
        <f t="shared" si="115"/>
        <v/>
      </c>
      <c r="K339" s="50" t="str">
        <f t="shared" si="116"/>
        <v/>
      </c>
      <c r="L339" s="47" t="str">
        <f t="shared" si="117"/>
        <v/>
      </c>
      <c r="M339" s="47" t="str">
        <f t="shared" si="118"/>
        <v/>
      </c>
      <c r="N339" s="47" t="str">
        <f t="shared" si="119"/>
        <v/>
      </c>
      <c r="O339" s="47" t="str">
        <f t="shared" si="120"/>
        <v/>
      </c>
      <c r="P339" s="47" t="str">
        <f t="shared" si="121"/>
        <v/>
      </c>
      <c r="S339" s="15">
        <f t="shared" si="122"/>
        <v>0</v>
      </c>
      <c r="T339" s="15">
        <f t="shared" si="123"/>
        <v>1</v>
      </c>
      <c r="U339" s="15" t="e">
        <f t="shared" si="124"/>
        <v>#VALUE!</v>
      </c>
      <c r="V339" s="15" t="e">
        <f t="shared" si="125"/>
        <v>#VALUE!</v>
      </c>
      <c r="W339" s="15" t="e">
        <f t="shared" si="126"/>
        <v>#VALUE!</v>
      </c>
    </row>
    <row r="340" spans="1:23" x14ac:dyDescent="0.2">
      <c r="A340" s="48" t="str">
        <f t="shared" si="127"/>
        <v/>
      </c>
      <c r="B340" s="2"/>
      <c r="C340" s="51"/>
      <c r="D340" s="51"/>
      <c r="E340" s="14" t="str">
        <f t="shared" si="110"/>
        <v/>
      </c>
      <c r="F340" s="47" t="str">
        <f t="shared" si="111"/>
        <v/>
      </c>
      <c r="G340" s="47" t="str">
        <f t="shared" si="112"/>
        <v/>
      </c>
      <c r="H340" s="49" t="str">
        <f t="shared" si="113"/>
        <v/>
      </c>
      <c r="I340" s="50" t="str">
        <f t="shared" si="114"/>
        <v/>
      </c>
      <c r="J340" s="49" t="str">
        <f t="shared" si="115"/>
        <v/>
      </c>
      <c r="K340" s="50" t="str">
        <f t="shared" si="116"/>
        <v/>
      </c>
      <c r="L340" s="47" t="str">
        <f t="shared" si="117"/>
        <v/>
      </c>
      <c r="M340" s="47" t="str">
        <f t="shared" si="118"/>
        <v/>
      </c>
      <c r="N340" s="47" t="str">
        <f t="shared" si="119"/>
        <v/>
      </c>
      <c r="O340" s="47" t="str">
        <f t="shared" si="120"/>
        <v/>
      </c>
      <c r="P340" s="47" t="str">
        <f t="shared" si="121"/>
        <v/>
      </c>
      <c r="S340" s="15">
        <f t="shared" si="122"/>
        <v>0</v>
      </c>
      <c r="T340" s="15">
        <f t="shared" si="123"/>
        <v>1</v>
      </c>
      <c r="U340" s="15" t="e">
        <f t="shared" si="124"/>
        <v>#VALUE!</v>
      </c>
      <c r="V340" s="15" t="e">
        <f t="shared" si="125"/>
        <v>#VALUE!</v>
      </c>
      <c r="W340" s="15" t="e">
        <f t="shared" si="126"/>
        <v>#VALUE!</v>
      </c>
    </row>
    <row r="341" spans="1:23" x14ac:dyDescent="0.2">
      <c r="A341" s="48" t="str">
        <f t="shared" si="127"/>
        <v/>
      </c>
      <c r="B341" s="2"/>
      <c r="C341" s="51"/>
      <c r="D341" s="51"/>
      <c r="E341" s="14" t="str">
        <f t="shared" si="110"/>
        <v/>
      </c>
      <c r="F341" s="47" t="str">
        <f t="shared" si="111"/>
        <v/>
      </c>
      <c r="G341" s="47" t="str">
        <f t="shared" si="112"/>
        <v/>
      </c>
      <c r="H341" s="49" t="str">
        <f t="shared" si="113"/>
        <v/>
      </c>
      <c r="I341" s="50" t="str">
        <f t="shared" si="114"/>
        <v/>
      </c>
      <c r="J341" s="49" t="str">
        <f t="shared" si="115"/>
        <v/>
      </c>
      <c r="K341" s="50" t="str">
        <f t="shared" si="116"/>
        <v/>
      </c>
      <c r="L341" s="47" t="str">
        <f t="shared" si="117"/>
        <v/>
      </c>
      <c r="M341" s="47" t="str">
        <f t="shared" si="118"/>
        <v/>
      </c>
      <c r="N341" s="47" t="str">
        <f t="shared" si="119"/>
        <v/>
      </c>
      <c r="O341" s="47" t="str">
        <f t="shared" si="120"/>
        <v/>
      </c>
      <c r="P341" s="47" t="str">
        <f t="shared" si="121"/>
        <v/>
      </c>
      <c r="S341" s="15">
        <f t="shared" si="122"/>
        <v>0</v>
      </c>
      <c r="T341" s="15">
        <f t="shared" si="123"/>
        <v>1</v>
      </c>
      <c r="U341" s="15" t="e">
        <f t="shared" si="124"/>
        <v>#VALUE!</v>
      </c>
      <c r="V341" s="15" t="e">
        <f t="shared" si="125"/>
        <v>#VALUE!</v>
      </c>
      <c r="W341" s="15" t="e">
        <f t="shared" si="126"/>
        <v>#VALUE!</v>
      </c>
    </row>
    <row r="342" spans="1:23" x14ac:dyDescent="0.2">
      <c r="A342" s="48" t="str">
        <f t="shared" si="127"/>
        <v/>
      </c>
      <c r="B342" s="2"/>
      <c r="C342" s="51"/>
      <c r="D342" s="51"/>
      <c r="E342" s="14" t="str">
        <f t="shared" si="110"/>
        <v/>
      </c>
      <c r="F342" s="47" t="str">
        <f t="shared" si="111"/>
        <v/>
      </c>
      <c r="G342" s="47" t="str">
        <f t="shared" si="112"/>
        <v/>
      </c>
      <c r="H342" s="49" t="str">
        <f t="shared" si="113"/>
        <v/>
      </c>
      <c r="I342" s="50" t="str">
        <f t="shared" si="114"/>
        <v/>
      </c>
      <c r="J342" s="49" t="str">
        <f t="shared" si="115"/>
        <v/>
      </c>
      <c r="K342" s="50" t="str">
        <f t="shared" si="116"/>
        <v/>
      </c>
      <c r="L342" s="47" t="str">
        <f t="shared" si="117"/>
        <v/>
      </c>
      <c r="M342" s="47" t="str">
        <f t="shared" si="118"/>
        <v/>
      </c>
      <c r="N342" s="47" t="str">
        <f t="shared" si="119"/>
        <v/>
      </c>
      <c r="O342" s="47" t="str">
        <f t="shared" si="120"/>
        <v/>
      </c>
      <c r="P342" s="47" t="str">
        <f t="shared" si="121"/>
        <v/>
      </c>
      <c r="S342" s="15">
        <f t="shared" si="122"/>
        <v>0</v>
      </c>
      <c r="T342" s="15">
        <f t="shared" si="123"/>
        <v>1</v>
      </c>
      <c r="U342" s="15" t="e">
        <f t="shared" si="124"/>
        <v>#VALUE!</v>
      </c>
      <c r="V342" s="15" t="e">
        <f t="shared" si="125"/>
        <v>#VALUE!</v>
      </c>
      <c r="W342" s="15" t="e">
        <f t="shared" si="126"/>
        <v>#VALUE!</v>
      </c>
    </row>
    <row r="343" spans="1:23" x14ac:dyDescent="0.2">
      <c r="A343" s="48" t="str">
        <f t="shared" si="127"/>
        <v/>
      </c>
      <c r="B343" s="2"/>
      <c r="C343" s="51"/>
      <c r="D343" s="51"/>
      <c r="E343" s="14" t="str">
        <f t="shared" si="110"/>
        <v/>
      </c>
      <c r="F343" s="47" t="str">
        <f t="shared" si="111"/>
        <v/>
      </c>
      <c r="G343" s="47" t="str">
        <f t="shared" si="112"/>
        <v/>
      </c>
      <c r="H343" s="49" t="str">
        <f t="shared" si="113"/>
        <v/>
      </c>
      <c r="I343" s="50" t="str">
        <f t="shared" si="114"/>
        <v/>
      </c>
      <c r="J343" s="49" t="str">
        <f t="shared" si="115"/>
        <v/>
      </c>
      <c r="K343" s="50" t="str">
        <f t="shared" si="116"/>
        <v/>
      </c>
      <c r="L343" s="47" t="str">
        <f t="shared" si="117"/>
        <v/>
      </c>
      <c r="M343" s="47" t="str">
        <f t="shared" si="118"/>
        <v/>
      </c>
      <c r="N343" s="47" t="str">
        <f t="shared" si="119"/>
        <v/>
      </c>
      <c r="O343" s="47" t="str">
        <f t="shared" si="120"/>
        <v/>
      </c>
      <c r="P343" s="47" t="str">
        <f t="shared" si="121"/>
        <v/>
      </c>
      <c r="S343" s="15">
        <f t="shared" si="122"/>
        <v>0</v>
      </c>
      <c r="T343" s="15">
        <f t="shared" si="123"/>
        <v>1</v>
      </c>
      <c r="U343" s="15" t="e">
        <f t="shared" si="124"/>
        <v>#VALUE!</v>
      </c>
      <c r="V343" s="15" t="e">
        <f t="shared" si="125"/>
        <v>#VALUE!</v>
      </c>
      <c r="W343" s="15" t="e">
        <f t="shared" si="126"/>
        <v>#VALUE!</v>
      </c>
    </row>
    <row r="344" spans="1:23" x14ac:dyDescent="0.2">
      <c r="A344" s="48" t="str">
        <f t="shared" si="127"/>
        <v/>
      </c>
      <c r="B344" s="2"/>
      <c r="C344" s="51"/>
      <c r="D344" s="51"/>
      <c r="E344" s="14" t="str">
        <f t="shared" si="110"/>
        <v/>
      </c>
      <c r="F344" s="47" t="str">
        <f t="shared" si="111"/>
        <v/>
      </c>
      <c r="G344" s="47" t="str">
        <f t="shared" si="112"/>
        <v/>
      </c>
      <c r="H344" s="49" t="str">
        <f t="shared" si="113"/>
        <v/>
      </c>
      <c r="I344" s="50" t="str">
        <f t="shared" si="114"/>
        <v/>
      </c>
      <c r="J344" s="49" t="str">
        <f t="shared" si="115"/>
        <v/>
      </c>
      <c r="K344" s="50" t="str">
        <f t="shared" si="116"/>
        <v/>
      </c>
      <c r="L344" s="47" t="str">
        <f t="shared" si="117"/>
        <v/>
      </c>
      <c r="M344" s="47" t="str">
        <f t="shared" si="118"/>
        <v/>
      </c>
      <c r="N344" s="47" t="str">
        <f t="shared" si="119"/>
        <v/>
      </c>
      <c r="O344" s="47" t="str">
        <f t="shared" si="120"/>
        <v/>
      </c>
      <c r="P344" s="47" t="str">
        <f t="shared" si="121"/>
        <v/>
      </c>
      <c r="S344" s="15">
        <f t="shared" si="122"/>
        <v>0</v>
      </c>
      <c r="T344" s="15">
        <f t="shared" si="123"/>
        <v>1</v>
      </c>
      <c r="U344" s="15" t="e">
        <f t="shared" si="124"/>
        <v>#VALUE!</v>
      </c>
      <c r="V344" s="15" t="e">
        <f t="shared" si="125"/>
        <v>#VALUE!</v>
      </c>
      <c r="W344" s="15" t="e">
        <f t="shared" si="126"/>
        <v>#VALUE!</v>
      </c>
    </row>
    <row r="345" spans="1:23" x14ac:dyDescent="0.2">
      <c r="A345" s="48" t="str">
        <f t="shared" si="127"/>
        <v/>
      </c>
      <c r="B345" s="2"/>
      <c r="C345" s="51"/>
      <c r="D345" s="51"/>
      <c r="E345" s="14" t="str">
        <f t="shared" si="110"/>
        <v/>
      </c>
      <c r="F345" s="47" t="str">
        <f t="shared" si="111"/>
        <v/>
      </c>
      <c r="G345" s="47" t="str">
        <f t="shared" si="112"/>
        <v/>
      </c>
      <c r="H345" s="49" t="str">
        <f t="shared" si="113"/>
        <v/>
      </c>
      <c r="I345" s="50" t="str">
        <f t="shared" si="114"/>
        <v/>
      </c>
      <c r="J345" s="49" t="str">
        <f t="shared" si="115"/>
        <v/>
      </c>
      <c r="K345" s="50" t="str">
        <f t="shared" si="116"/>
        <v/>
      </c>
      <c r="L345" s="47" t="str">
        <f t="shared" si="117"/>
        <v/>
      </c>
      <c r="M345" s="47" t="str">
        <f t="shared" si="118"/>
        <v/>
      </c>
      <c r="N345" s="47" t="str">
        <f t="shared" si="119"/>
        <v/>
      </c>
      <c r="O345" s="47" t="str">
        <f t="shared" si="120"/>
        <v/>
      </c>
      <c r="P345" s="47" t="str">
        <f t="shared" si="121"/>
        <v/>
      </c>
      <c r="S345" s="15">
        <f t="shared" si="122"/>
        <v>0</v>
      </c>
      <c r="T345" s="15">
        <f t="shared" si="123"/>
        <v>1</v>
      </c>
      <c r="U345" s="15" t="e">
        <f t="shared" si="124"/>
        <v>#VALUE!</v>
      </c>
      <c r="V345" s="15" t="e">
        <f t="shared" si="125"/>
        <v>#VALUE!</v>
      </c>
      <c r="W345" s="15" t="e">
        <f t="shared" si="126"/>
        <v>#VALUE!</v>
      </c>
    </row>
    <row r="346" spans="1:23" x14ac:dyDescent="0.2">
      <c r="A346" s="48" t="str">
        <f t="shared" si="127"/>
        <v/>
      </c>
      <c r="B346" s="2"/>
      <c r="C346" s="51"/>
      <c r="D346" s="51"/>
      <c r="E346" s="14" t="str">
        <f t="shared" si="110"/>
        <v/>
      </c>
      <c r="F346" s="47" t="str">
        <f t="shared" si="111"/>
        <v/>
      </c>
      <c r="G346" s="47" t="str">
        <f t="shared" si="112"/>
        <v/>
      </c>
      <c r="H346" s="49" t="str">
        <f t="shared" si="113"/>
        <v/>
      </c>
      <c r="I346" s="50" t="str">
        <f t="shared" si="114"/>
        <v/>
      </c>
      <c r="J346" s="49" t="str">
        <f t="shared" si="115"/>
        <v/>
      </c>
      <c r="K346" s="50" t="str">
        <f t="shared" si="116"/>
        <v/>
      </c>
      <c r="L346" s="47" t="str">
        <f t="shared" si="117"/>
        <v/>
      </c>
      <c r="M346" s="47" t="str">
        <f t="shared" si="118"/>
        <v/>
      </c>
      <c r="N346" s="47" t="str">
        <f t="shared" si="119"/>
        <v/>
      </c>
      <c r="O346" s="47" t="str">
        <f t="shared" si="120"/>
        <v/>
      </c>
      <c r="P346" s="47" t="str">
        <f t="shared" si="121"/>
        <v/>
      </c>
      <c r="S346" s="15">
        <f t="shared" si="122"/>
        <v>0</v>
      </c>
      <c r="T346" s="15">
        <f t="shared" si="123"/>
        <v>1</v>
      </c>
      <c r="U346" s="15" t="e">
        <f t="shared" si="124"/>
        <v>#VALUE!</v>
      </c>
      <c r="V346" s="15" t="e">
        <f t="shared" si="125"/>
        <v>#VALUE!</v>
      </c>
      <c r="W346" s="15" t="e">
        <f t="shared" si="126"/>
        <v>#VALUE!</v>
      </c>
    </row>
    <row r="347" spans="1:23" x14ac:dyDescent="0.2">
      <c r="A347" s="48" t="str">
        <f t="shared" si="127"/>
        <v/>
      </c>
      <c r="B347" s="2"/>
      <c r="C347" s="51"/>
      <c r="D347" s="51"/>
      <c r="E347" s="14" t="str">
        <f t="shared" si="110"/>
        <v/>
      </c>
      <c r="F347" s="47" t="str">
        <f t="shared" si="111"/>
        <v/>
      </c>
      <c r="G347" s="47" t="str">
        <f t="shared" si="112"/>
        <v/>
      </c>
      <c r="H347" s="49" t="str">
        <f t="shared" si="113"/>
        <v/>
      </c>
      <c r="I347" s="50" t="str">
        <f t="shared" si="114"/>
        <v/>
      </c>
      <c r="J347" s="49" t="str">
        <f t="shared" si="115"/>
        <v/>
      </c>
      <c r="K347" s="50" t="str">
        <f t="shared" si="116"/>
        <v/>
      </c>
      <c r="L347" s="47" t="str">
        <f t="shared" si="117"/>
        <v/>
      </c>
      <c r="M347" s="47" t="str">
        <f t="shared" si="118"/>
        <v/>
      </c>
      <c r="N347" s="47" t="str">
        <f t="shared" si="119"/>
        <v/>
      </c>
      <c r="O347" s="47" t="str">
        <f t="shared" si="120"/>
        <v/>
      </c>
      <c r="P347" s="47" t="str">
        <f t="shared" si="121"/>
        <v/>
      </c>
      <c r="S347" s="15">
        <f t="shared" si="122"/>
        <v>0</v>
      </c>
      <c r="T347" s="15">
        <f t="shared" si="123"/>
        <v>1</v>
      </c>
      <c r="U347" s="15" t="e">
        <f t="shared" si="124"/>
        <v>#VALUE!</v>
      </c>
      <c r="V347" s="15" t="e">
        <f t="shared" si="125"/>
        <v>#VALUE!</v>
      </c>
      <c r="W347" s="15" t="e">
        <f t="shared" si="126"/>
        <v>#VALUE!</v>
      </c>
    </row>
    <row r="348" spans="1:23" x14ac:dyDescent="0.2">
      <c r="A348" s="48" t="str">
        <f t="shared" si="127"/>
        <v/>
      </c>
      <c r="B348" s="2"/>
      <c r="C348" s="51"/>
      <c r="D348" s="51"/>
      <c r="E348" s="14" t="str">
        <f t="shared" si="110"/>
        <v/>
      </c>
      <c r="F348" s="47" t="str">
        <f t="shared" si="111"/>
        <v/>
      </c>
      <c r="G348" s="47" t="str">
        <f t="shared" si="112"/>
        <v/>
      </c>
      <c r="H348" s="49" t="str">
        <f t="shared" si="113"/>
        <v/>
      </c>
      <c r="I348" s="50" t="str">
        <f t="shared" si="114"/>
        <v/>
      </c>
      <c r="J348" s="49" t="str">
        <f t="shared" si="115"/>
        <v/>
      </c>
      <c r="K348" s="50" t="str">
        <f t="shared" si="116"/>
        <v/>
      </c>
      <c r="L348" s="47" t="str">
        <f t="shared" si="117"/>
        <v/>
      </c>
      <c r="M348" s="47" t="str">
        <f t="shared" si="118"/>
        <v/>
      </c>
      <c r="N348" s="47" t="str">
        <f t="shared" si="119"/>
        <v/>
      </c>
      <c r="O348" s="47" t="str">
        <f t="shared" si="120"/>
        <v/>
      </c>
      <c r="P348" s="47" t="str">
        <f t="shared" si="121"/>
        <v/>
      </c>
      <c r="S348" s="15">
        <f t="shared" si="122"/>
        <v>0</v>
      </c>
      <c r="T348" s="15">
        <f t="shared" si="123"/>
        <v>1</v>
      </c>
      <c r="U348" s="15" t="e">
        <f t="shared" si="124"/>
        <v>#VALUE!</v>
      </c>
      <c r="V348" s="15" t="e">
        <f t="shared" si="125"/>
        <v>#VALUE!</v>
      </c>
      <c r="W348" s="15" t="e">
        <f t="shared" si="126"/>
        <v>#VALUE!</v>
      </c>
    </row>
    <row r="349" spans="1:23" x14ac:dyDescent="0.2">
      <c r="A349" s="48" t="str">
        <f t="shared" si="127"/>
        <v/>
      </c>
      <c r="B349" s="2"/>
      <c r="C349" s="51"/>
      <c r="D349" s="51"/>
      <c r="E349" s="14" t="str">
        <f t="shared" si="110"/>
        <v/>
      </c>
      <c r="F349" s="47" t="str">
        <f t="shared" si="111"/>
        <v/>
      </c>
      <c r="G349" s="47" t="str">
        <f t="shared" si="112"/>
        <v/>
      </c>
      <c r="H349" s="49" t="str">
        <f t="shared" si="113"/>
        <v/>
      </c>
      <c r="I349" s="50" t="str">
        <f t="shared" si="114"/>
        <v/>
      </c>
      <c r="J349" s="49" t="str">
        <f t="shared" si="115"/>
        <v/>
      </c>
      <c r="K349" s="50" t="str">
        <f t="shared" si="116"/>
        <v/>
      </c>
      <c r="L349" s="47" t="str">
        <f t="shared" si="117"/>
        <v/>
      </c>
      <c r="M349" s="47" t="str">
        <f t="shared" si="118"/>
        <v/>
      </c>
      <c r="N349" s="47" t="str">
        <f t="shared" si="119"/>
        <v/>
      </c>
      <c r="O349" s="47" t="str">
        <f t="shared" si="120"/>
        <v/>
      </c>
      <c r="P349" s="47" t="str">
        <f t="shared" si="121"/>
        <v/>
      </c>
      <c r="S349" s="15">
        <f t="shared" si="122"/>
        <v>0</v>
      </c>
      <c r="T349" s="15">
        <f t="shared" si="123"/>
        <v>1</v>
      </c>
      <c r="U349" s="15" t="e">
        <f t="shared" si="124"/>
        <v>#VALUE!</v>
      </c>
      <c r="V349" s="15" t="e">
        <f t="shared" si="125"/>
        <v>#VALUE!</v>
      </c>
      <c r="W349" s="15" t="e">
        <f t="shared" si="126"/>
        <v>#VALUE!</v>
      </c>
    </row>
    <row r="350" spans="1:23" x14ac:dyDescent="0.2">
      <c r="A350" s="48" t="str">
        <f t="shared" si="127"/>
        <v/>
      </c>
      <c r="B350" s="2"/>
      <c r="C350" s="51"/>
      <c r="D350" s="51"/>
      <c r="E350" s="14" t="str">
        <f t="shared" si="110"/>
        <v/>
      </c>
      <c r="F350" s="47" t="str">
        <f t="shared" si="111"/>
        <v/>
      </c>
      <c r="G350" s="47" t="str">
        <f t="shared" si="112"/>
        <v/>
      </c>
      <c r="H350" s="49" t="str">
        <f t="shared" si="113"/>
        <v/>
      </c>
      <c r="I350" s="50" t="str">
        <f t="shared" si="114"/>
        <v/>
      </c>
      <c r="J350" s="49" t="str">
        <f t="shared" si="115"/>
        <v/>
      </c>
      <c r="K350" s="50" t="str">
        <f t="shared" si="116"/>
        <v/>
      </c>
      <c r="L350" s="47" t="str">
        <f t="shared" si="117"/>
        <v/>
      </c>
      <c r="M350" s="47" t="str">
        <f t="shared" si="118"/>
        <v/>
      </c>
      <c r="N350" s="47" t="str">
        <f t="shared" si="119"/>
        <v/>
      </c>
      <c r="O350" s="47" t="str">
        <f t="shared" si="120"/>
        <v/>
      </c>
      <c r="P350" s="47" t="str">
        <f t="shared" si="121"/>
        <v/>
      </c>
      <c r="S350" s="15">
        <f t="shared" si="122"/>
        <v>0</v>
      </c>
      <c r="T350" s="15">
        <f t="shared" si="123"/>
        <v>1</v>
      </c>
      <c r="U350" s="15" t="e">
        <f t="shared" si="124"/>
        <v>#VALUE!</v>
      </c>
      <c r="V350" s="15" t="e">
        <f t="shared" si="125"/>
        <v>#VALUE!</v>
      </c>
      <c r="W350" s="15" t="e">
        <f t="shared" si="126"/>
        <v>#VALUE!</v>
      </c>
    </row>
    <row r="351" spans="1:23" x14ac:dyDescent="0.2">
      <c r="A351" s="48" t="str">
        <f t="shared" si="127"/>
        <v/>
      </c>
      <c r="B351" s="2"/>
      <c r="C351" s="51"/>
      <c r="D351" s="51"/>
      <c r="E351" s="14" t="str">
        <f t="shared" si="110"/>
        <v/>
      </c>
      <c r="F351" s="47" t="str">
        <f t="shared" si="111"/>
        <v/>
      </c>
      <c r="G351" s="47" t="str">
        <f t="shared" si="112"/>
        <v/>
      </c>
      <c r="H351" s="49" t="str">
        <f t="shared" si="113"/>
        <v/>
      </c>
      <c r="I351" s="50" t="str">
        <f t="shared" si="114"/>
        <v/>
      </c>
      <c r="J351" s="49" t="str">
        <f t="shared" si="115"/>
        <v/>
      </c>
      <c r="K351" s="50" t="str">
        <f t="shared" si="116"/>
        <v/>
      </c>
      <c r="L351" s="47" t="str">
        <f t="shared" si="117"/>
        <v/>
      </c>
      <c r="M351" s="47" t="str">
        <f t="shared" si="118"/>
        <v/>
      </c>
      <c r="N351" s="47" t="str">
        <f t="shared" si="119"/>
        <v/>
      </c>
      <c r="O351" s="47" t="str">
        <f t="shared" si="120"/>
        <v/>
      </c>
      <c r="P351" s="47" t="str">
        <f t="shared" si="121"/>
        <v/>
      </c>
      <c r="S351" s="15">
        <f t="shared" si="122"/>
        <v>0</v>
      </c>
      <c r="T351" s="15">
        <f t="shared" si="123"/>
        <v>1</v>
      </c>
      <c r="U351" s="15" t="e">
        <f t="shared" si="124"/>
        <v>#VALUE!</v>
      </c>
      <c r="V351" s="15" t="e">
        <f t="shared" si="125"/>
        <v>#VALUE!</v>
      </c>
      <c r="W351" s="15" t="e">
        <f t="shared" si="126"/>
        <v>#VALUE!</v>
      </c>
    </row>
    <row r="352" spans="1:23" x14ac:dyDescent="0.2">
      <c r="A352" s="48" t="str">
        <f t="shared" si="127"/>
        <v/>
      </c>
      <c r="B352" s="2"/>
      <c r="C352" s="51"/>
      <c r="D352" s="51"/>
      <c r="E352" s="14" t="str">
        <f t="shared" si="110"/>
        <v/>
      </c>
      <c r="F352" s="47" t="str">
        <f t="shared" si="111"/>
        <v/>
      </c>
      <c r="G352" s="47" t="str">
        <f t="shared" si="112"/>
        <v/>
      </c>
      <c r="H352" s="49" t="str">
        <f t="shared" si="113"/>
        <v/>
      </c>
      <c r="I352" s="50" t="str">
        <f t="shared" si="114"/>
        <v/>
      </c>
      <c r="J352" s="49" t="str">
        <f t="shared" si="115"/>
        <v/>
      </c>
      <c r="K352" s="50" t="str">
        <f t="shared" si="116"/>
        <v/>
      </c>
      <c r="L352" s="47" t="str">
        <f t="shared" si="117"/>
        <v/>
      </c>
      <c r="M352" s="47" t="str">
        <f t="shared" si="118"/>
        <v/>
      </c>
      <c r="N352" s="47" t="str">
        <f t="shared" si="119"/>
        <v/>
      </c>
      <c r="O352" s="47" t="str">
        <f t="shared" si="120"/>
        <v/>
      </c>
      <c r="P352" s="47" t="str">
        <f t="shared" si="121"/>
        <v/>
      </c>
      <c r="S352" s="15">
        <f t="shared" si="122"/>
        <v>0</v>
      </c>
      <c r="T352" s="15">
        <f t="shared" si="123"/>
        <v>1</v>
      </c>
      <c r="U352" s="15" t="e">
        <f t="shared" si="124"/>
        <v>#VALUE!</v>
      </c>
      <c r="V352" s="15" t="e">
        <f t="shared" si="125"/>
        <v>#VALUE!</v>
      </c>
      <c r="W352" s="15" t="e">
        <f t="shared" si="126"/>
        <v>#VALUE!</v>
      </c>
    </row>
    <row r="353" spans="1:23" x14ac:dyDescent="0.2">
      <c r="A353" s="48" t="str">
        <f t="shared" si="127"/>
        <v/>
      </c>
      <c r="B353" s="2"/>
      <c r="C353" s="51"/>
      <c r="D353" s="51"/>
      <c r="E353" s="14" t="str">
        <f t="shared" si="110"/>
        <v/>
      </c>
      <c r="F353" s="47" t="str">
        <f t="shared" si="111"/>
        <v/>
      </c>
      <c r="G353" s="47" t="str">
        <f t="shared" si="112"/>
        <v/>
      </c>
      <c r="H353" s="49" t="str">
        <f t="shared" si="113"/>
        <v/>
      </c>
      <c r="I353" s="50" t="str">
        <f t="shared" si="114"/>
        <v/>
      </c>
      <c r="J353" s="49" t="str">
        <f t="shared" si="115"/>
        <v/>
      </c>
      <c r="K353" s="50" t="str">
        <f t="shared" si="116"/>
        <v/>
      </c>
      <c r="L353" s="47" t="str">
        <f t="shared" si="117"/>
        <v/>
      </c>
      <c r="M353" s="47" t="str">
        <f t="shared" si="118"/>
        <v/>
      </c>
      <c r="N353" s="47" t="str">
        <f t="shared" si="119"/>
        <v/>
      </c>
      <c r="O353" s="47" t="str">
        <f t="shared" si="120"/>
        <v/>
      </c>
      <c r="P353" s="47" t="str">
        <f t="shared" si="121"/>
        <v/>
      </c>
      <c r="S353" s="15">
        <f t="shared" si="122"/>
        <v>0</v>
      </c>
      <c r="T353" s="15">
        <f t="shared" si="123"/>
        <v>1</v>
      </c>
      <c r="U353" s="15" t="e">
        <f t="shared" si="124"/>
        <v>#VALUE!</v>
      </c>
      <c r="V353" s="15" t="e">
        <f t="shared" si="125"/>
        <v>#VALUE!</v>
      </c>
      <c r="W353" s="15" t="e">
        <f t="shared" si="126"/>
        <v>#VALUE!</v>
      </c>
    </row>
    <row r="354" spans="1:23" x14ac:dyDescent="0.2">
      <c r="A354" s="48" t="str">
        <f t="shared" si="127"/>
        <v/>
      </c>
      <c r="B354" s="2"/>
      <c r="C354" s="51"/>
      <c r="D354" s="51"/>
      <c r="E354" s="14" t="str">
        <f t="shared" si="110"/>
        <v/>
      </c>
      <c r="F354" s="47" t="str">
        <f t="shared" si="111"/>
        <v/>
      </c>
      <c r="G354" s="47" t="str">
        <f t="shared" si="112"/>
        <v/>
      </c>
      <c r="H354" s="49" t="str">
        <f t="shared" si="113"/>
        <v/>
      </c>
      <c r="I354" s="50" t="str">
        <f t="shared" si="114"/>
        <v/>
      </c>
      <c r="J354" s="49" t="str">
        <f t="shared" si="115"/>
        <v/>
      </c>
      <c r="K354" s="50" t="str">
        <f t="shared" si="116"/>
        <v/>
      </c>
      <c r="L354" s="47" t="str">
        <f t="shared" si="117"/>
        <v/>
      </c>
      <c r="M354" s="47" t="str">
        <f t="shared" si="118"/>
        <v/>
      </c>
      <c r="N354" s="47" t="str">
        <f t="shared" si="119"/>
        <v/>
      </c>
      <c r="O354" s="47" t="str">
        <f t="shared" si="120"/>
        <v/>
      </c>
      <c r="P354" s="47" t="str">
        <f t="shared" si="121"/>
        <v/>
      </c>
      <c r="S354" s="15">
        <f t="shared" si="122"/>
        <v>0</v>
      </c>
      <c r="T354" s="15">
        <f t="shared" si="123"/>
        <v>1</v>
      </c>
      <c r="U354" s="15" t="e">
        <f t="shared" si="124"/>
        <v>#VALUE!</v>
      </c>
      <c r="V354" s="15" t="e">
        <f t="shared" si="125"/>
        <v>#VALUE!</v>
      </c>
      <c r="W354" s="15" t="e">
        <f t="shared" si="126"/>
        <v>#VALUE!</v>
      </c>
    </row>
    <row r="355" spans="1:23" x14ac:dyDescent="0.2">
      <c r="A355" s="48" t="str">
        <f t="shared" si="127"/>
        <v/>
      </c>
      <c r="B355" s="2"/>
      <c r="C355" s="51"/>
      <c r="D355" s="51"/>
      <c r="E355" s="14" t="str">
        <f t="shared" si="110"/>
        <v/>
      </c>
      <c r="F355" s="47" t="str">
        <f t="shared" si="111"/>
        <v/>
      </c>
      <c r="G355" s="47" t="str">
        <f t="shared" si="112"/>
        <v/>
      </c>
      <c r="H355" s="49" t="str">
        <f t="shared" si="113"/>
        <v/>
      </c>
      <c r="I355" s="50" t="str">
        <f t="shared" si="114"/>
        <v/>
      </c>
      <c r="J355" s="49" t="str">
        <f t="shared" si="115"/>
        <v/>
      </c>
      <c r="K355" s="50" t="str">
        <f t="shared" si="116"/>
        <v/>
      </c>
      <c r="L355" s="47" t="str">
        <f t="shared" si="117"/>
        <v/>
      </c>
      <c r="M355" s="47" t="str">
        <f t="shared" si="118"/>
        <v/>
      </c>
      <c r="N355" s="47" t="str">
        <f t="shared" si="119"/>
        <v/>
      </c>
      <c r="O355" s="47" t="str">
        <f t="shared" si="120"/>
        <v/>
      </c>
      <c r="P355" s="47" t="str">
        <f t="shared" si="121"/>
        <v/>
      </c>
      <c r="S355" s="15">
        <f t="shared" si="122"/>
        <v>0</v>
      </c>
      <c r="T355" s="15">
        <f t="shared" si="123"/>
        <v>1</v>
      </c>
      <c r="U355" s="15" t="e">
        <f t="shared" si="124"/>
        <v>#VALUE!</v>
      </c>
      <c r="V355" s="15" t="e">
        <f t="shared" si="125"/>
        <v>#VALUE!</v>
      </c>
      <c r="W355" s="15" t="e">
        <f t="shared" si="126"/>
        <v>#VALUE!</v>
      </c>
    </row>
    <row r="356" spans="1:23" x14ac:dyDescent="0.2">
      <c r="A356" s="48" t="str">
        <f t="shared" si="127"/>
        <v/>
      </c>
      <c r="B356" s="2"/>
      <c r="C356" s="51"/>
      <c r="D356" s="51"/>
      <c r="E356" s="14" t="str">
        <f t="shared" si="110"/>
        <v/>
      </c>
      <c r="F356" s="47" t="str">
        <f t="shared" si="111"/>
        <v/>
      </c>
      <c r="G356" s="47" t="str">
        <f t="shared" si="112"/>
        <v/>
      </c>
      <c r="H356" s="49" t="str">
        <f t="shared" si="113"/>
        <v/>
      </c>
      <c r="I356" s="50" t="str">
        <f t="shared" si="114"/>
        <v/>
      </c>
      <c r="J356" s="49" t="str">
        <f t="shared" si="115"/>
        <v/>
      </c>
      <c r="K356" s="50" t="str">
        <f t="shared" si="116"/>
        <v/>
      </c>
      <c r="L356" s="47" t="str">
        <f t="shared" si="117"/>
        <v/>
      </c>
      <c r="M356" s="47" t="str">
        <f t="shared" si="118"/>
        <v/>
      </c>
      <c r="N356" s="47" t="str">
        <f t="shared" si="119"/>
        <v/>
      </c>
      <c r="O356" s="47" t="str">
        <f t="shared" si="120"/>
        <v/>
      </c>
      <c r="P356" s="47" t="str">
        <f t="shared" si="121"/>
        <v/>
      </c>
      <c r="S356" s="15">
        <f t="shared" si="122"/>
        <v>0</v>
      </c>
      <c r="T356" s="15">
        <f t="shared" si="123"/>
        <v>1</v>
      </c>
      <c r="U356" s="15" t="e">
        <f t="shared" si="124"/>
        <v>#VALUE!</v>
      </c>
      <c r="V356" s="15" t="e">
        <f t="shared" si="125"/>
        <v>#VALUE!</v>
      </c>
      <c r="W356" s="15" t="e">
        <f t="shared" si="126"/>
        <v>#VALUE!</v>
      </c>
    </row>
    <row r="357" spans="1:23" x14ac:dyDescent="0.2">
      <c r="A357" s="48" t="str">
        <f t="shared" si="127"/>
        <v/>
      </c>
      <c r="B357" s="2"/>
      <c r="C357" s="51"/>
      <c r="D357" s="51"/>
      <c r="E357" s="14" t="str">
        <f t="shared" si="110"/>
        <v/>
      </c>
      <c r="F357" s="47" t="str">
        <f t="shared" si="111"/>
        <v/>
      </c>
      <c r="G357" s="47" t="str">
        <f t="shared" si="112"/>
        <v/>
      </c>
      <c r="H357" s="49" t="str">
        <f t="shared" si="113"/>
        <v/>
      </c>
      <c r="I357" s="50" t="str">
        <f t="shared" si="114"/>
        <v/>
      </c>
      <c r="J357" s="49" t="str">
        <f t="shared" si="115"/>
        <v/>
      </c>
      <c r="K357" s="50" t="str">
        <f t="shared" si="116"/>
        <v/>
      </c>
      <c r="L357" s="47" t="str">
        <f t="shared" si="117"/>
        <v/>
      </c>
      <c r="M357" s="47" t="str">
        <f t="shared" si="118"/>
        <v/>
      </c>
      <c r="N357" s="47" t="str">
        <f t="shared" si="119"/>
        <v/>
      </c>
      <c r="O357" s="47" t="str">
        <f t="shared" si="120"/>
        <v/>
      </c>
      <c r="P357" s="47" t="str">
        <f t="shared" si="121"/>
        <v/>
      </c>
      <c r="S357" s="15">
        <f t="shared" si="122"/>
        <v>0</v>
      </c>
      <c r="T357" s="15">
        <f t="shared" si="123"/>
        <v>1</v>
      </c>
      <c r="U357" s="15" t="e">
        <f t="shared" si="124"/>
        <v>#VALUE!</v>
      </c>
      <c r="V357" s="15" t="e">
        <f t="shared" si="125"/>
        <v>#VALUE!</v>
      </c>
      <c r="W357" s="15" t="e">
        <f t="shared" si="126"/>
        <v>#VALUE!</v>
      </c>
    </row>
    <row r="358" spans="1:23" x14ac:dyDescent="0.2">
      <c r="A358" s="48" t="str">
        <f t="shared" si="127"/>
        <v/>
      </c>
      <c r="B358" s="2"/>
      <c r="C358" s="51"/>
      <c r="D358" s="51"/>
      <c r="E358" s="14" t="str">
        <f t="shared" si="110"/>
        <v/>
      </c>
      <c r="F358" s="47" t="str">
        <f t="shared" si="111"/>
        <v/>
      </c>
      <c r="G358" s="47" t="str">
        <f t="shared" si="112"/>
        <v/>
      </c>
      <c r="H358" s="49" t="str">
        <f t="shared" si="113"/>
        <v/>
      </c>
      <c r="I358" s="50" t="str">
        <f t="shared" si="114"/>
        <v/>
      </c>
      <c r="J358" s="49" t="str">
        <f t="shared" si="115"/>
        <v/>
      </c>
      <c r="K358" s="50" t="str">
        <f t="shared" si="116"/>
        <v/>
      </c>
      <c r="L358" s="47" t="str">
        <f t="shared" si="117"/>
        <v/>
      </c>
      <c r="M358" s="47" t="str">
        <f t="shared" si="118"/>
        <v/>
      </c>
      <c r="N358" s="47" t="str">
        <f t="shared" si="119"/>
        <v/>
      </c>
      <c r="O358" s="47" t="str">
        <f t="shared" si="120"/>
        <v/>
      </c>
      <c r="P358" s="47" t="str">
        <f t="shared" si="121"/>
        <v/>
      </c>
      <c r="S358" s="15">
        <f t="shared" si="122"/>
        <v>0</v>
      </c>
      <c r="T358" s="15">
        <f t="shared" si="123"/>
        <v>1</v>
      </c>
      <c r="U358" s="15" t="e">
        <f t="shared" si="124"/>
        <v>#VALUE!</v>
      </c>
      <c r="V358" s="15" t="e">
        <f t="shared" si="125"/>
        <v>#VALUE!</v>
      </c>
      <c r="W358" s="15" t="e">
        <f t="shared" si="126"/>
        <v>#VALUE!</v>
      </c>
    </row>
    <row r="359" spans="1:23" x14ac:dyDescent="0.2">
      <c r="A359" s="48" t="str">
        <f t="shared" si="127"/>
        <v/>
      </c>
      <c r="B359" s="2"/>
      <c r="C359" s="51"/>
      <c r="D359" s="51"/>
      <c r="E359" s="14" t="str">
        <f t="shared" si="110"/>
        <v/>
      </c>
      <c r="F359" s="47" t="str">
        <f t="shared" si="111"/>
        <v/>
      </c>
      <c r="G359" s="47" t="str">
        <f t="shared" si="112"/>
        <v/>
      </c>
      <c r="H359" s="49" t="str">
        <f t="shared" si="113"/>
        <v/>
      </c>
      <c r="I359" s="50" t="str">
        <f t="shared" si="114"/>
        <v/>
      </c>
      <c r="J359" s="49" t="str">
        <f t="shared" si="115"/>
        <v/>
      </c>
      <c r="K359" s="50" t="str">
        <f t="shared" si="116"/>
        <v/>
      </c>
      <c r="L359" s="47" t="str">
        <f t="shared" si="117"/>
        <v/>
      </c>
      <c r="M359" s="47" t="str">
        <f t="shared" si="118"/>
        <v/>
      </c>
      <c r="N359" s="47" t="str">
        <f t="shared" si="119"/>
        <v/>
      </c>
      <c r="O359" s="47" t="str">
        <f t="shared" si="120"/>
        <v/>
      </c>
      <c r="P359" s="47" t="str">
        <f t="shared" si="121"/>
        <v/>
      </c>
      <c r="S359" s="15">
        <f t="shared" si="122"/>
        <v>0</v>
      </c>
      <c r="T359" s="15">
        <f t="shared" si="123"/>
        <v>1</v>
      </c>
      <c r="U359" s="15" t="e">
        <f t="shared" si="124"/>
        <v>#VALUE!</v>
      </c>
      <c r="V359" s="15" t="e">
        <f t="shared" si="125"/>
        <v>#VALUE!</v>
      </c>
      <c r="W359" s="15" t="e">
        <f t="shared" si="126"/>
        <v>#VALUE!</v>
      </c>
    </row>
    <row r="360" spans="1:23" x14ac:dyDescent="0.2">
      <c r="A360" s="48" t="str">
        <f t="shared" si="127"/>
        <v/>
      </c>
      <c r="B360" s="2"/>
      <c r="C360" s="51"/>
      <c r="D360" s="51"/>
      <c r="E360" s="14" t="str">
        <f t="shared" si="110"/>
        <v/>
      </c>
      <c r="F360" s="47" t="str">
        <f t="shared" si="111"/>
        <v/>
      </c>
      <c r="G360" s="47" t="str">
        <f t="shared" si="112"/>
        <v/>
      </c>
      <c r="H360" s="49" t="str">
        <f t="shared" si="113"/>
        <v/>
      </c>
      <c r="I360" s="50" t="str">
        <f t="shared" si="114"/>
        <v/>
      </c>
      <c r="J360" s="49" t="str">
        <f t="shared" si="115"/>
        <v/>
      </c>
      <c r="K360" s="50" t="str">
        <f t="shared" si="116"/>
        <v/>
      </c>
      <c r="L360" s="47" t="str">
        <f t="shared" si="117"/>
        <v/>
      </c>
      <c r="M360" s="47" t="str">
        <f t="shared" si="118"/>
        <v/>
      </c>
      <c r="N360" s="47" t="str">
        <f t="shared" si="119"/>
        <v/>
      </c>
      <c r="O360" s="47" t="str">
        <f t="shared" si="120"/>
        <v/>
      </c>
      <c r="P360" s="47" t="str">
        <f t="shared" si="121"/>
        <v/>
      </c>
      <c r="S360" s="15">
        <f t="shared" si="122"/>
        <v>0</v>
      </c>
      <c r="T360" s="15">
        <f t="shared" si="123"/>
        <v>1</v>
      </c>
      <c r="U360" s="15" t="e">
        <f t="shared" si="124"/>
        <v>#VALUE!</v>
      </c>
      <c r="V360" s="15" t="e">
        <f t="shared" si="125"/>
        <v>#VALUE!</v>
      </c>
      <c r="W360" s="15" t="e">
        <f t="shared" si="126"/>
        <v>#VALUE!</v>
      </c>
    </row>
    <row r="361" spans="1:23" x14ac:dyDescent="0.2">
      <c r="A361" s="48" t="str">
        <f t="shared" si="127"/>
        <v/>
      </c>
      <c r="B361" s="2"/>
      <c r="C361" s="51"/>
      <c r="D361" s="51"/>
      <c r="E361" s="14" t="str">
        <f t="shared" si="110"/>
        <v/>
      </c>
      <c r="F361" s="47" t="str">
        <f t="shared" si="111"/>
        <v/>
      </c>
      <c r="G361" s="47" t="str">
        <f t="shared" si="112"/>
        <v/>
      </c>
      <c r="H361" s="49" t="str">
        <f t="shared" si="113"/>
        <v/>
      </c>
      <c r="I361" s="50" t="str">
        <f t="shared" si="114"/>
        <v/>
      </c>
      <c r="J361" s="49" t="str">
        <f t="shared" si="115"/>
        <v/>
      </c>
      <c r="K361" s="50" t="str">
        <f t="shared" si="116"/>
        <v/>
      </c>
      <c r="L361" s="47" t="str">
        <f t="shared" si="117"/>
        <v/>
      </c>
      <c r="M361" s="47" t="str">
        <f t="shared" si="118"/>
        <v/>
      </c>
      <c r="N361" s="47" t="str">
        <f t="shared" si="119"/>
        <v/>
      </c>
      <c r="O361" s="47" t="str">
        <f t="shared" si="120"/>
        <v/>
      </c>
      <c r="P361" s="47" t="str">
        <f t="shared" si="121"/>
        <v/>
      </c>
      <c r="S361" s="15">
        <f t="shared" si="122"/>
        <v>0</v>
      </c>
      <c r="T361" s="15">
        <f t="shared" si="123"/>
        <v>1</v>
      </c>
      <c r="U361" s="15" t="e">
        <f t="shared" si="124"/>
        <v>#VALUE!</v>
      </c>
      <c r="V361" s="15" t="e">
        <f t="shared" si="125"/>
        <v>#VALUE!</v>
      </c>
      <c r="W361" s="15" t="e">
        <f t="shared" si="126"/>
        <v>#VALUE!</v>
      </c>
    </row>
    <row r="362" spans="1:23" x14ac:dyDescent="0.2">
      <c r="A362" s="48" t="str">
        <f t="shared" ref="A362:A396" si="128">IF(B362="","",IF(AND(B362&lt;&gt;"",B363=""),"Proj.",A361+1))</f>
        <v/>
      </c>
      <c r="B362" s="2"/>
      <c r="C362" s="51"/>
      <c r="D362" s="51"/>
      <c r="E362" s="14" t="str">
        <f t="shared" si="110"/>
        <v/>
      </c>
      <c r="F362" s="47" t="str">
        <f t="shared" si="111"/>
        <v/>
      </c>
      <c r="G362" s="47" t="str">
        <f t="shared" si="112"/>
        <v/>
      </c>
      <c r="H362" s="49" t="str">
        <f t="shared" si="113"/>
        <v/>
      </c>
      <c r="I362" s="50" t="str">
        <f t="shared" si="114"/>
        <v/>
      </c>
      <c r="J362" s="49" t="str">
        <f t="shared" si="115"/>
        <v/>
      </c>
      <c r="K362" s="50" t="str">
        <f t="shared" si="116"/>
        <v/>
      </c>
      <c r="L362" s="47" t="str">
        <f t="shared" si="117"/>
        <v/>
      </c>
      <c r="M362" s="47" t="str">
        <f t="shared" si="118"/>
        <v/>
      </c>
      <c r="N362" s="47" t="str">
        <f t="shared" si="119"/>
        <v/>
      </c>
      <c r="O362" s="47" t="str">
        <f t="shared" si="120"/>
        <v/>
      </c>
      <c r="P362" s="47" t="str">
        <f t="shared" si="121"/>
        <v/>
      </c>
      <c r="S362" s="15">
        <f t="shared" si="122"/>
        <v>0</v>
      </c>
      <c r="T362" s="15">
        <f t="shared" si="123"/>
        <v>1</v>
      </c>
      <c r="U362" s="15" t="e">
        <f t="shared" si="124"/>
        <v>#VALUE!</v>
      </c>
      <c r="V362" s="15" t="e">
        <f t="shared" si="125"/>
        <v>#VALUE!</v>
      </c>
      <c r="W362" s="15" t="e">
        <f t="shared" si="126"/>
        <v>#VALUE!</v>
      </c>
    </row>
    <row r="363" spans="1:23" x14ac:dyDescent="0.2">
      <c r="A363" s="48" t="str">
        <f t="shared" si="128"/>
        <v/>
      </c>
      <c r="B363" s="2"/>
      <c r="C363" s="51"/>
      <c r="D363" s="51"/>
      <c r="E363" s="14" t="str">
        <f t="shared" si="110"/>
        <v/>
      </c>
      <c r="F363" s="47" t="str">
        <f t="shared" si="111"/>
        <v/>
      </c>
      <c r="G363" s="47" t="str">
        <f t="shared" si="112"/>
        <v/>
      </c>
      <c r="H363" s="49" t="str">
        <f t="shared" si="113"/>
        <v/>
      </c>
      <c r="I363" s="50" t="str">
        <f t="shared" si="114"/>
        <v/>
      </c>
      <c r="J363" s="49" t="str">
        <f t="shared" si="115"/>
        <v/>
      </c>
      <c r="K363" s="50" t="str">
        <f t="shared" si="116"/>
        <v/>
      </c>
      <c r="L363" s="47" t="str">
        <f t="shared" si="117"/>
        <v/>
      </c>
      <c r="M363" s="47" t="str">
        <f t="shared" si="118"/>
        <v/>
      </c>
      <c r="N363" s="47" t="str">
        <f t="shared" si="119"/>
        <v/>
      </c>
      <c r="O363" s="47" t="str">
        <f t="shared" si="120"/>
        <v/>
      </c>
      <c r="P363" s="47" t="str">
        <f t="shared" si="121"/>
        <v/>
      </c>
      <c r="S363" s="15">
        <f t="shared" si="122"/>
        <v>0</v>
      </c>
      <c r="T363" s="15">
        <f t="shared" si="123"/>
        <v>1</v>
      </c>
      <c r="U363" s="15" t="e">
        <f t="shared" si="124"/>
        <v>#VALUE!</v>
      </c>
      <c r="V363" s="15" t="e">
        <f t="shared" si="125"/>
        <v>#VALUE!</v>
      </c>
      <c r="W363" s="15" t="e">
        <f t="shared" si="126"/>
        <v>#VALUE!</v>
      </c>
    </row>
    <row r="364" spans="1:23" x14ac:dyDescent="0.2">
      <c r="A364" s="48" t="str">
        <f t="shared" si="128"/>
        <v/>
      </c>
      <c r="B364" s="2"/>
      <c r="C364" s="51"/>
      <c r="D364" s="51"/>
      <c r="E364" s="14" t="str">
        <f t="shared" si="110"/>
        <v/>
      </c>
      <c r="F364" s="47" t="str">
        <f t="shared" si="111"/>
        <v/>
      </c>
      <c r="G364" s="47" t="str">
        <f t="shared" si="112"/>
        <v/>
      </c>
      <c r="H364" s="49" t="str">
        <f t="shared" si="113"/>
        <v/>
      </c>
      <c r="I364" s="50" t="str">
        <f t="shared" si="114"/>
        <v/>
      </c>
      <c r="J364" s="49" t="str">
        <f t="shared" si="115"/>
        <v/>
      </c>
      <c r="K364" s="50" t="str">
        <f t="shared" si="116"/>
        <v/>
      </c>
      <c r="L364" s="47" t="str">
        <f t="shared" si="117"/>
        <v/>
      </c>
      <c r="M364" s="47" t="str">
        <f t="shared" si="118"/>
        <v/>
      </c>
      <c r="N364" s="47" t="str">
        <f t="shared" si="119"/>
        <v/>
      </c>
      <c r="O364" s="47" t="str">
        <f t="shared" si="120"/>
        <v/>
      </c>
      <c r="P364" s="47" t="str">
        <f t="shared" si="121"/>
        <v/>
      </c>
      <c r="S364" s="15">
        <f t="shared" si="122"/>
        <v>0</v>
      </c>
      <c r="T364" s="15">
        <f t="shared" si="123"/>
        <v>1</v>
      </c>
      <c r="U364" s="15" t="e">
        <f t="shared" si="124"/>
        <v>#VALUE!</v>
      </c>
      <c r="V364" s="15" t="e">
        <f t="shared" si="125"/>
        <v>#VALUE!</v>
      </c>
      <c r="W364" s="15" t="e">
        <f t="shared" si="126"/>
        <v>#VALUE!</v>
      </c>
    </row>
    <row r="365" spans="1:23" x14ac:dyDescent="0.2">
      <c r="A365" s="48" t="str">
        <f t="shared" si="128"/>
        <v/>
      </c>
      <c r="B365" s="2"/>
      <c r="C365" s="51"/>
      <c r="D365" s="51"/>
      <c r="E365" s="14" t="str">
        <f t="shared" si="110"/>
        <v/>
      </c>
      <c r="F365" s="47" t="str">
        <f t="shared" si="111"/>
        <v/>
      </c>
      <c r="G365" s="47" t="str">
        <f t="shared" si="112"/>
        <v/>
      </c>
      <c r="H365" s="49" t="str">
        <f t="shared" si="113"/>
        <v/>
      </c>
      <c r="I365" s="50" t="str">
        <f t="shared" si="114"/>
        <v/>
      </c>
      <c r="J365" s="49" t="str">
        <f t="shared" si="115"/>
        <v/>
      </c>
      <c r="K365" s="50" t="str">
        <f t="shared" si="116"/>
        <v/>
      </c>
      <c r="L365" s="47" t="str">
        <f t="shared" si="117"/>
        <v/>
      </c>
      <c r="M365" s="47" t="str">
        <f t="shared" si="118"/>
        <v/>
      </c>
      <c r="N365" s="47" t="str">
        <f t="shared" si="119"/>
        <v/>
      </c>
      <c r="O365" s="47" t="str">
        <f t="shared" si="120"/>
        <v/>
      </c>
      <c r="P365" s="47" t="str">
        <f t="shared" si="121"/>
        <v/>
      </c>
      <c r="S365" s="15">
        <f t="shared" si="122"/>
        <v>0</v>
      </c>
      <c r="T365" s="15">
        <f t="shared" si="123"/>
        <v>1</v>
      </c>
      <c r="U365" s="15" t="e">
        <f t="shared" si="124"/>
        <v>#VALUE!</v>
      </c>
      <c r="V365" s="15" t="e">
        <f t="shared" si="125"/>
        <v>#VALUE!</v>
      </c>
      <c r="W365" s="15" t="e">
        <f t="shared" si="126"/>
        <v>#VALUE!</v>
      </c>
    </row>
    <row r="366" spans="1:23" x14ac:dyDescent="0.2">
      <c r="A366" s="48" t="str">
        <f t="shared" si="128"/>
        <v/>
      </c>
      <c r="B366" s="2"/>
      <c r="C366" s="51"/>
      <c r="D366" s="51"/>
      <c r="E366" s="14" t="str">
        <f t="shared" si="110"/>
        <v/>
      </c>
      <c r="F366" s="47" t="str">
        <f t="shared" si="111"/>
        <v/>
      </c>
      <c r="G366" s="47" t="str">
        <f t="shared" si="112"/>
        <v/>
      </c>
      <c r="H366" s="49" t="str">
        <f t="shared" si="113"/>
        <v/>
      </c>
      <c r="I366" s="50" t="str">
        <f t="shared" si="114"/>
        <v/>
      </c>
      <c r="J366" s="49" t="str">
        <f t="shared" si="115"/>
        <v/>
      </c>
      <c r="K366" s="50" t="str">
        <f t="shared" si="116"/>
        <v/>
      </c>
      <c r="L366" s="47" t="str">
        <f t="shared" si="117"/>
        <v/>
      </c>
      <c r="M366" s="47" t="str">
        <f t="shared" si="118"/>
        <v/>
      </c>
      <c r="N366" s="47" t="str">
        <f t="shared" si="119"/>
        <v/>
      </c>
      <c r="O366" s="47" t="str">
        <f t="shared" si="120"/>
        <v/>
      </c>
      <c r="P366" s="47" t="str">
        <f t="shared" si="121"/>
        <v/>
      </c>
      <c r="S366" s="15">
        <f t="shared" si="122"/>
        <v>0</v>
      </c>
      <c r="T366" s="15">
        <f t="shared" si="123"/>
        <v>1</v>
      </c>
      <c r="U366" s="15" t="e">
        <f t="shared" si="124"/>
        <v>#VALUE!</v>
      </c>
      <c r="V366" s="15" t="e">
        <f t="shared" si="125"/>
        <v>#VALUE!</v>
      </c>
      <c r="W366" s="15" t="e">
        <f t="shared" si="126"/>
        <v>#VALUE!</v>
      </c>
    </row>
    <row r="367" spans="1:23" x14ac:dyDescent="0.2">
      <c r="A367" s="48" t="str">
        <f t="shared" si="128"/>
        <v/>
      </c>
      <c r="B367" s="2"/>
      <c r="C367" s="51"/>
      <c r="D367" s="51"/>
      <c r="E367" s="14" t="str">
        <f t="shared" si="110"/>
        <v/>
      </c>
      <c r="F367" s="47" t="str">
        <f t="shared" si="111"/>
        <v/>
      </c>
      <c r="G367" s="47" t="str">
        <f t="shared" si="112"/>
        <v/>
      </c>
      <c r="H367" s="49" t="str">
        <f t="shared" si="113"/>
        <v/>
      </c>
      <c r="I367" s="50" t="str">
        <f t="shared" si="114"/>
        <v/>
      </c>
      <c r="J367" s="49" t="str">
        <f t="shared" si="115"/>
        <v/>
      </c>
      <c r="K367" s="50" t="str">
        <f t="shared" si="116"/>
        <v/>
      </c>
      <c r="L367" s="47" t="str">
        <f t="shared" si="117"/>
        <v/>
      </c>
      <c r="M367" s="47" t="str">
        <f t="shared" si="118"/>
        <v/>
      </c>
      <c r="N367" s="47" t="str">
        <f t="shared" si="119"/>
        <v/>
      </c>
      <c r="O367" s="47" t="str">
        <f t="shared" si="120"/>
        <v/>
      </c>
      <c r="P367" s="47" t="str">
        <f t="shared" si="121"/>
        <v/>
      </c>
      <c r="S367" s="15">
        <f t="shared" si="122"/>
        <v>0</v>
      </c>
      <c r="T367" s="15">
        <f t="shared" si="123"/>
        <v>1</v>
      </c>
      <c r="U367" s="15" t="e">
        <f t="shared" si="124"/>
        <v>#VALUE!</v>
      </c>
      <c r="V367" s="15" t="e">
        <f t="shared" si="125"/>
        <v>#VALUE!</v>
      </c>
      <c r="W367" s="15" t="e">
        <f t="shared" si="126"/>
        <v>#VALUE!</v>
      </c>
    </row>
    <row r="368" spans="1:23" x14ac:dyDescent="0.2">
      <c r="A368" s="48" t="str">
        <f t="shared" si="128"/>
        <v/>
      </c>
      <c r="B368" s="2"/>
      <c r="C368" s="51"/>
      <c r="D368" s="51"/>
      <c r="E368" s="14" t="str">
        <f t="shared" si="110"/>
        <v/>
      </c>
      <c r="F368" s="47" t="str">
        <f t="shared" si="111"/>
        <v/>
      </c>
      <c r="G368" s="47" t="str">
        <f t="shared" si="112"/>
        <v/>
      </c>
      <c r="H368" s="49" t="str">
        <f t="shared" si="113"/>
        <v/>
      </c>
      <c r="I368" s="50" t="str">
        <f t="shared" si="114"/>
        <v/>
      </c>
      <c r="J368" s="49" t="str">
        <f t="shared" si="115"/>
        <v/>
      </c>
      <c r="K368" s="50" t="str">
        <f t="shared" si="116"/>
        <v/>
      </c>
      <c r="L368" s="47" t="str">
        <f t="shared" si="117"/>
        <v/>
      </c>
      <c r="M368" s="47" t="str">
        <f t="shared" si="118"/>
        <v/>
      </c>
      <c r="N368" s="47" t="str">
        <f t="shared" si="119"/>
        <v/>
      </c>
      <c r="O368" s="47" t="str">
        <f t="shared" si="120"/>
        <v/>
      </c>
      <c r="P368" s="47" t="str">
        <f t="shared" si="121"/>
        <v/>
      </c>
      <c r="S368" s="15">
        <f t="shared" si="122"/>
        <v>0</v>
      </c>
      <c r="T368" s="15">
        <f t="shared" si="123"/>
        <v>1</v>
      </c>
      <c r="U368" s="15" t="e">
        <f t="shared" si="124"/>
        <v>#VALUE!</v>
      </c>
      <c r="V368" s="15" t="e">
        <f t="shared" si="125"/>
        <v>#VALUE!</v>
      </c>
      <c r="W368" s="15" t="e">
        <f t="shared" si="126"/>
        <v>#VALUE!</v>
      </c>
    </row>
    <row r="369" spans="1:23" x14ac:dyDescent="0.2">
      <c r="A369" s="48" t="str">
        <f t="shared" si="128"/>
        <v/>
      </c>
      <c r="B369" s="2"/>
      <c r="C369" s="51"/>
      <c r="D369" s="51"/>
      <c r="E369" s="14" t="str">
        <f t="shared" si="110"/>
        <v/>
      </c>
      <c r="F369" s="47" t="str">
        <f t="shared" si="111"/>
        <v/>
      </c>
      <c r="G369" s="47" t="str">
        <f t="shared" si="112"/>
        <v/>
      </c>
      <c r="H369" s="49" t="str">
        <f t="shared" si="113"/>
        <v/>
      </c>
      <c r="I369" s="50" t="str">
        <f t="shared" si="114"/>
        <v/>
      </c>
      <c r="J369" s="49" t="str">
        <f t="shared" si="115"/>
        <v/>
      </c>
      <c r="K369" s="50" t="str">
        <f t="shared" si="116"/>
        <v/>
      </c>
      <c r="L369" s="47" t="str">
        <f t="shared" si="117"/>
        <v/>
      </c>
      <c r="M369" s="47" t="str">
        <f t="shared" si="118"/>
        <v/>
      </c>
      <c r="N369" s="47" t="str">
        <f t="shared" si="119"/>
        <v/>
      </c>
      <c r="O369" s="47" t="str">
        <f t="shared" si="120"/>
        <v/>
      </c>
      <c r="P369" s="47" t="str">
        <f t="shared" si="121"/>
        <v/>
      </c>
      <c r="S369" s="15">
        <f t="shared" si="122"/>
        <v>0</v>
      </c>
      <c r="T369" s="15">
        <f t="shared" si="123"/>
        <v>1</v>
      </c>
      <c r="U369" s="15" t="e">
        <f t="shared" si="124"/>
        <v>#VALUE!</v>
      </c>
      <c r="V369" s="15" t="e">
        <f t="shared" si="125"/>
        <v>#VALUE!</v>
      </c>
      <c r="W369" s="15" t="e">
        <f t="shared" si="126"/>
        <v>#VALUE!</v>
      </c>
    </row>
    <row r="370" spans="1:23" x14ac:dyDescent="0.2">
      <c r="A370" s="48" t="str">
        <f t="shared" si="128"/>
        <v/>
      </c>
      <c r="B370" s="2"/>
      <c r="C370" s="51"/>
      <c r="D370" s="51"/>
      <c r="E370" s="14" t="str">
        <f t="shared" ref="E370:E400" si="129">IF($B370="","",B370-B369)</f>
        <v/>
      </c>
      <c r="F370" s="47" t="str">
        <f t="shared" ref="F370:F400" si="130">IF(B370="","",IF($U$1=1,F369+(T370*E370/2*(COS(RADIANS(C370))+COS(RADIANS(C369)))), IF($U$1=2,IF(C370=C369,F369+E370*(COS(RADIANS(C370))),F369+(E370/(C370-C369))*(DEGREES(SIN(RADIANS(C370))-SIN(RADIANS(C369))))),F369+(E370*(COS(RADIANS((C370+C369)/2)))))))</f>
        <v/>
      </c>
      <c r="G370" s="47" t="str">
        <f t="shared" ref="G370:G400" si="131">IF(B370="","",L370*COS(RADIANS(M370-$N$2)))</f>
        <v/>
      </c>
      <c r="H370" s="49" t="str">
        <f t="shared" ref="H370:H400" si="132">IF(B370="","",ABS(U370))</f>
        <v/>
      </c>
      <c r="I370" s="50" t="str">
        <f t="shared" ref="I370:I400" si="133">IF(B370="","",IF(U370&lt;0,"S","N"))</f>
        <v/>
      </c>
      <c r="J370" s="49" t="str">
        <f t="shared" ref="J370:J400" si="134">IF(B370="","",ABS(V370))</f>
        <v/>
      </c>
      <c r="K370" s="50" t="str">
        <f t="shared" ref="K370:K400" si="135">IF(B370="","",IF(V370&lt;0,"W","E"))</f>
        <v/>
      </c>
      <c r="L370" s="47" t="str">
        <f t="shared" ref="L370:L400" si="136">IF(B370="","",(H370^2+J370^2)^0.5)</f>
        <v/>
      </c>
      <c r="M370" s="47" t="str">
        <f t="shared" ref="M370:M400" si="137">IF(B370="","",IF(I370="S", 180+W370,IF(AND(I370="N",K370="E"),W370,360+W370)))</f>
        <v/>
      </c>
      <c r="N370" s="47" t="str">
        <f t="shared" ref="N370:N400" si="138">IF(B370="","",S370*100/E370)</f>
        <v/>
      </c>
      <c r="O370" s="47" t="str">
        <f t="shared" ref="O370:O400" si="139">IF(B370="","",(C370-C369)*(100/E370))</f>
        <v/>
      </c>
      <c r="P370" s="47" t="str">
        <f t="shared" ref="P370:P400" si="140">IF(B370="","",(D370-D369)*(100/E370))</f>
        <v/>
      </c>
      <c r="S370" s="15">
        <f t="shared" ref="S370:S400" si="141">DEGREES(ACOS(COS(RADIANS(C370-C369))+((SIN(RADIANS(C370)))*(SIN(RADIANS(C369))))*((COS(RADIANS(D370-D369)))-1)))</f>
        <v>0</v>
      </c>
      <c r="T370" s="15">
        <f t="shared" ref="T370:T400" si="142">IF($U$1=1,IF(S370&lt;0.25,1,(2/S370)*(DEGREES((TAN(RADIANS(S370/2)))))),IF($U$1=2,IF(C370=C369,E370*(SIN(RADIANS(C370))),(E370/(C370-C369))*(DEGREES(COS(RADIANS(C370))-COS(RADIANS(C369))))),E370*SIN(RADIANS((C370+C369)/2))))</f>
        <v>1</v>
      </c>
      <c r="U370" s="15" t="e">
        <f t="shared" ref="U370:U400" si="143">IF($U$1=1,U369+(T370*E370/2*((SIN(RADIANS(C370))*COS(RADIANS(D370)))+(SIN(RADIANS(C369))*COS(RADIANS(D369))))),IF($U$1=2,IF(D370=D369,U369+(-T370*(COS(RADIANS(D370)))),U369+(-T370/(D370-D369))*(DEGREES(SIN(RADIANS(D370))-SIN(RADIANS(D369))))),U369+T370*(COS(RADIANS((D370+D369)/2)))))</f>
        <v>#VALUE!</v>
      </c>
      <c r="V370" s="15" t="e">
        <f t="shared" ref="V370:V400" si="144">IF($U$1=1,V369+(T370*E370/2*((SIN(RADIANS(C370))*SIN(RADIANS(D370)))+(SIN(RADIANS(C369))*SIN(RADIANS(D369))))),IF($U$1=2,IF(D370=D369,V369-T370*(SIN(RADIANS(D370))),V369+(T370/(D370-D369))*(DEGREES(COS(RADIANS(D370))-COS(RADIANS(D369))))),V369+(T370*(SIN(RADIANS((D370+D369)/2))))))</f>
        <v>#VALUE!</v>
      </c>
      <c r="W370" s="15" t="e">
        <f t="shared" ref="W370:W400" si="145">DEGREES(ATAN(V370/U370))</f>
        <v>#VALUE!</v>
      </c>
    </row>
    <row r="371" spans="1:23" x14ac:dyDescent="0.2">
      <c r="A371" s="48" t="str">
        <f t="shared" si="128"/>
        <v/>
      </c>
      <c r="B371" s="2"/>
      <c r="C371" s="51"/>
      <c r="D371" s="51"/>
      <c r="E371" s="14" t="str">
        <f t="shared" si="129"/>
        <v/>
      </c>
      <c r="F371" s="47" t="str">
        <f t="shared" si="130"/>
        <v/>
      </c>
      <c r="G371" s="47" t="str">
        <f t="shared" si="131"/>
        <v/>
      </c>
      <c r="H371" s="49" t="str">
        <f t="shared" si="132"/>
        <v/>
      </c>
      <c r="I371" s="50" t="str">
        <f t="shared" si="133"/>
        <v/>
      </c>
      <c r="J371" s="49" t="str">
        <f t="shared" si="134"/>
        <v/>
      </c>
      <c r="K371" s="50" t="str">
        <f t="shared" si="135"/>
        <v/>
      </c>
      <c r="L371" s="47" t="str">
        <f t="shared" si="136"/>
        <v/>
      </c>
      <c r="M371" s="47" t="str">
        <f t="shared" si="137"/>
        <v/>
      </c>
      <c r="N371" s="47" t="str">
        <f t="shared" si="138"/>
        <v/>
      </c>
      <c r="O371" s="47" t="str">
        <f t="shared" si="139"/>
        <v/>
      </c>
      <c r="P371" s="47" t="str">
        <f t="shared" si="140"/>
        <v/>
      </c>
      <c r="S371" s="15">
        <f t="shared" si="141"/>
        <v>0</v>
      </c>
      <c r="T371" s="15">
        <f t="shared" si="142"/>
        <v>1</v>
      </c>
      <c r="U371" s="15" t="e">
        <f t="shared" si="143"/>
        <v>#VALUE!</v>
      </c>
      <c r="V371" s="15" t="e">
        <f t="shared" si="144"/>
        <v>#VALUE!</v>
      </c>
      <c r="W371" s="15" t="e">
        <f t="shared" si="145"/>
        <v>#VALUE!</v>
      </c>
    </row>
    <row r="372" spans="1:23" x14ac:dyDescent="0.2">
      <c r="A372" s="48" t="str">
        <f t="shared" si="128"/>
        <v/>
      </c>
      <c r="B372" s="2"/>
      <c r="C372" s="51"/>
      <c r="D372" s="51"/>
      <c r="E372" s="14" t="str">
        <f t="shared" si="129"/>
        <v/>
      </c>
      <c r="F372" s="47" t="str">
        <f t="shared" si="130"/>
        <v/>
      </c>
      <c r="G372" s="47" t="str">
        <f t="shared" si="131"/>
        <v/>
      </c>
      <c r="H372" s="49" t="str">
        <f t="shared" si="132"/>
        <v/>
      </c>
      <c r="I372" s="50" t="str">
        <f t="shared" si="133"/>
        <v/>
      </c>
      <c r="J372" s="49" t="str">
        <f t="shared" si="134"/>
        <v/>
      </c>
      <c r="K372" s="50" t="str">
        <f t="shared" si="135"/>
        <v/>
      </c>
      <c r="L372" s="47" t="str">
        <f t="shared" si="136"/>
        <v/>
      </c>
      <c r="M372" s="47" t="str">
        <f t="shared" si="137"/>
        <v/>
      </c>
      <c r="N372" s="47" t="str">
        <f t="shared" si="138"/>
        <v/>
      </c>
      <c r="O372" s="47" t="str">
        <f t="shared" si="139"/>
        <v/>
      </c>
      <c r="P372" s="47" t="str">
        <f t="shared" si="140"/>
        <v/>
      </c>
      <c r="S372" s="15">
        <f t="shared" si="141"/>
        <v>0</v>
      </c>
      <c r="T372" s="15">
        <f t="shared" si="142"/>
        <v>1</v>
      </c>
      <c r="U372" s="15" t="e">
        <f t="shared" si="143"/>
        <v>#VALUE!</v>
      </c>
      <c r="V372" s="15" t="e">
        <f t="shared" si="144"/>
        <v>#VALUE!</v>
      </c>
      <c r="W372" s="15" t="e">
        <f t="shared" si="145"/>
        <v>#VALUE!</v>
      </c>
    </row>
    <row r="373" spans="1:23" x14ac:dyDescent="0.2">
      <c r="A373" s="48" t="str">
        <f t="shared" si="128"/>
        <v/>
      </c>
      <c r="B373" s="2"/>
      <c r="C373" s="51"/>
      <c r="D373" s="51"/>
      <c r="E373" s="14" t="str">
        <f t="shared" si="129"/>
        <v/>
      </c>
      <c r="F373" s="47" t="str">
        <f t="shared" si="130"/>
        <v/>
      </c>
      <c r="G373" s="47" t="str">
        <f t="shared" si="131"/>
        <v/>
      </c>
      <c r="H373" s="49" t="str">
        <f t="shared" si="132"/>
        <v/>
      </c>
      <c r="I373" s="50" t="str">
        <f t="shared" si="133"/>
        <v/>
      </c>
      <c r="J373" s="49" t="str">
        <f t="shared" si="134"/>
        <v/>
      </c>
      <c r="K373" s="50" t="str">
        <f t="shared" si="135"/>
        <v/>
      </c>
      <c r="L373" s="47" t="str">
        <f t="shared" si="136"/>
        <v/>
      </c>
      <c r="M373" s="47" t="str">
        <f t="shared" si="137"/>
        <v/>
      </c>
      <c r="N373" s="47" t="str">
        <f t="shared" si="138"/>
        <v/>
      </c>
      <c r="O373" s="47" t="str">
        <f t="shared" si="139"/>
        <v/>
      </c>
      <c r="P373" s="47" t="str">
        <f t="shared" si="140"/>
        <v/>
      </c>
      <c r="S373" s="15">
        <f t="shared" si="141"/>
        <v>0</v>
      </c>
      <c r="T373" s="15">
        <f t="shared" si="142"/>
        <v>1</v>
      </c>
      <c r="U373" s="15" t="e">
        <f t="shared" si="143"/>
        <v>#VALUE!</v>
      </c>
      <c r="V373" s="15" t="e">
        <f t="shared" si="144"/>
        <v>#VALUE!</v>
      </c>
      <c r="W373" s="15" t="e">
        <f t="shared" si="145"/>
        <v>#VALUE!</v>
      </c>
    </row>
    <row r="374" spans="1:23" x14ac:dyDescent="0.2">
      <c r="A374" s="48" t="str">
        <f t="shared" si="128"/>
        <v/>
      </c>
      <c r="B374" s="2"/>
      <c r="C374" s="51"/>
      <c r="D374" s="51"/>
      <c r="E374" s="14" t="str">
        <f t="shared" si="129"/>
        <v/>
      </c>
      <c r="F374" s="47" t="str">
        <f t="shared" si="130"/>
        <v/>
      </c>
      <c r="G374" s="47" t="str">
        <f t="shared" si="131"/>
        <v/>
      </c>
      <c r="H374" s="49" t="str">
        <f t="shared" si="132"/>
        <v/>
      </c>
      <c r="I374" s="50" t="str">
        <f t="shared" si="133"/>
        <v/>
      </c>
      <c r="J374" s="49" t="str">
        <f t="shared" si="134"/>
        <v/>
      </c>
      <c r="K374" s="50" t="str">
        <f t="shared" si="135"/>
        <v/>
      </c>
      <c r="L374" s="47" t="str">
        <f t="shared" si="136"/>
        <v/>
      </c>
      <c r="M374" s="47" t="str">
        <f t="shared" si="137"/>
        <v/>
      </c>
      <c r="N374" s="47" t="str">
        <f t="shared" si="138"/>
        <v/>
      </c>
      <c r="O374" s="47" t="str">
        <f t="shared" si="139"/>
        <v/>
      </c>
      <c r="P374" s="47" t="str">
        <f t="shared" si="140"/>
        <v/>
      </c>
      <c r="S374" s="15">
        <f t="shared" si="141"/>
        <v>0</v>
      </c>
      <c r="T374" s="15">
        <f t="shared" si="142"/>
        <v>1</v>
      </c>
      <c r="U374" s="15" t="e">
        <f t="shared" si="143"/>
        <v>#VALUE!</v>
      </c>
      <c r="V374" s="15" t="e">
        <f t="shared" si="144"/>
        <v>#VALUE!</v>
      </c>
      <c r="W374" s="15" t="e">
        <f t="shared" si="145"/>
        <v>#VALUE!</v>
      </c>
    </row>
    <row r="375" spans="1:23" x14ac:dyDescent="0.2">
      <c r="A375" s="48" t="str">
        <f t="shared" si="128"/>
        <v/>
      </c>
      <c r="B375" s="2"/>
      <c r="C375" s="51"/>
      <c r="D375" s="51"/>
      <c r="E375" s="14" t="str">
        <f t="shared" si="129"/>
        <v/>
      </c>
      <c r="F375" s="47" t="str">
        <f t="shared" si="130"/>
        <v/>
      </c>
      <c r="G375" s="47" t="str">
        <f t="shared" si="131"/>
        <v/>
      </c>
      <c r="H375" s="49" t="str">
        <f t="shared" si="132"/>
        <v/>
      </c>
      <c r="I375" s="50" t="str">
        <f t="shared" si="133"/>
        <v/>
      </c>
      <c r="J375" s="49" t="str">
        <f t="shared" si="134"/>
        <v/>
      </c>
      <c r="K375" s="50" t="str">
        <f t="shared" si="135"/>
        <v/>
      </c>
      <c r="L375" s="47" t="str">
        <f t="shared" si="136"/>
        <v/>
      </c>
      <c r="M375" s="47" t="str">
        <f t="shared" si="137"/>
        <v/>
      </c>
      <c r="N375" s="47" t="str">
        <f t="shared" si="138"/>
        <v/>
      </c>
      <c r="O375" s="47" t="str">
        <f t="shared" si="139"/>
        <v/>
      </c>
      <c r="P375" s="47" t="str">
        <f t="shared" si="140"/>
        <v/>
      </c>
      <c r="S375" s="15">
        <f t="shared" si="141"/>
        <v>0</v>
      </c>
      <c r="T375" s="15">
        <f t="shared" si="142"/>
        <v>1</v>
      </c>
      <c r="U375" s="15" t="e">
        <f t="shared" si="143"/>
        <v>#VALUE!</v>
      </c>
      <c r="V375" s="15" t="e">
        <f t="shared" si="144"/>
        <v>#VALUE!</v>
      </c>
      <c r="W375" s="15" t="e">
        <f t="shared" si="145"/>
        <v>#VALUE!</v>
      </c>
    </row>
    <row r="376" spans="1:23" x14ac:dyDescent="0.2">
      <c r="A376" s="48" t="str">
        <f t="shared" si="128"/>
        <v/>
      </c>
      <c r="B376" s="2"/>
      <c r="C376" s="51"/>
      <c r="D376" s="51"/>
      <c r="E376" s="14" t="str">
        <f t="shared" si="129"/>
        <v/>
      </c>
      <c r="F376" s="47" t="str">
        <f t="shared" si="130"/>
        <v/>
      </c>
      <c r="G376" s="47" t="str">
        <f t="shared" si="131"/>
        <v/>
      </c>
      <c r="H376" s="49" t="str">
        <f t="shared" si="132"/>
        <v/>
      </c>
      <c r="I376" s="50" t="str">
        <f t="shared" si="133"/>
        <v/>
      </c>
      <c r="J376" s="49" t="str">
        <f t="shared" si="134"/>
        <v/>
      </c>
      <c r="K376" s="50" t="str">
        <f t="shared" si="135"/>
        <v/>
      </c>
      <c r="L376" s="47" t="str">
        <f t="shared" si="136"/>
        <v/>
      </c>
      <c r="M376" s="47" t="str">
        <f t="shared" si="137"/>
        <v/>
      </c>
      <c r="N376" s="47" t="str">
        <f t="shared" si="138"/>
        <v/>
      </c>
      <c r="O376" s="47" t="str">
        <f t="shared" si="139"/>
        <v/>
      </c>
      <c r="P376" s="47" t="str">
        <f t="shared" si="140"/>
        <v/>
      </c>
      <c r="S376" s="15">
        <f t="shared" si="141"/>
        <v>0</v>
      </c>
      <c r="T376" s="15">
        <f t="shared" si="142"/>
        <v>1</v>
      </c>
      <c r="U376" s="15" t="e">
        <f t="shared" si="143"/>
        <v>#VALUE!</v>
      </c>
      <c r="V376" s="15" t="e">
        <f t="shared" si="144"/>
        <v>#VALUE!</v>
      </c>
      <c r="W376" s="15" t="e">
        <f t="shared" si="145"/>
        <v>#VALUE!</v>
      </c>
    </row>
    <row r="377" spans="1:23" x14ac:dyDescent="0.2">
      <c r="A377" s="48" t="str">
        <f t="shared" si="128"/>
        <v/>
      </c>
      <c r="B377" s="2"/>
      <c r="C377" s="51"/>
      <c r="D377" s="51"/>
      <c r="E377" s="14" t="str">
        <f t="shared" si="129"/>
        <v/>
      </c>
      <c r="F377" s="47" t="str">
        <f t="shared" si="130"/>
        <v/>
      </c>
      <c r="G377" s="47" t="str">
        <f t="shared" si="131"/>
        <v/>
      </c>
      <c r="H377" s="49" t="str">
        <f t="shared" si="132"/>
        <v/>
      </c>
      <c r="I377" s="50" t="str">
        <f t="shared" si="133"/>
        <v/>
      </c>
      <c r="J377" s="49" t="str">
        <f t="shared" si="134"/>
        <v/>
      </c>
      <c r="K377" s="50" t="str">
        <f t="shared" si="135"/>
        <v/>
      </c>
      <c r="L377" s="47" t="str">
        <f t="shared" si="136"/>
        <v/>
      </c>
      <c r="M377" s="47" t="str">
        <f t="shared" si="137"/>
        <v/>
      </c>
      <c r="N377" s="47" t="str">
        <f t="shared" si="138"/>
        <v/>
      </c>
      <c r="O377" s="47" t="str">
        <f t="shared" si="139"/>
        <v/>
      </c>
      <c r="P377" s="47" t="str">
        <f t="shared" si="140"/>
        <v/>
      </c>
      <c r="S377" s="15">
        <f t="shared" si="141"/>
        <v>0</v>
      </c>
      <c r="T377" s="15">
        <f t="shared" si="142"/>
        <v>1</v>
      </c>
      <c r="U377" s="15" t="e">
        <f t="shared" si="143"/>
        <v>#VALUE!</v>
      </c>
      <c r="V377" s="15" t="e">
        <f t="shared" si="144"/>
        <v>#VALUE!</v>
      </c>
      <c r="W377" s="15" t="e">
        <f t="shared" si="145"/>
        <v>#VALUE!</v>
      </c>
    </row>
    <row r="378" spans="1:23" x14ac:dyDescent="0.2">
      <c r="A378" s="48" t="str">
        <f t="shared" si="128"/>
        <v/>
      </c>
      <c r="B378" s="2"/>
      <c r="C378" s="51"/>
      <c r="D378" s="51"/>
      <c r="E378" s="14" t="str">
        <f t="shared" si="129"/>
        <v/>
      </c>
      <c r="F378" s="47" t="str">
        <f t="shared" si="130"/>
        <v/>
      </c>
      <c r="G378" s="47" t="str">
        <f t="shared" si="131"/>
        <v/>
      </c>
      <c r="H378" s="49" t="str">
        <f t="shared" si="132"/>
        <v/>
      </c>
      <c r="I378" s="50" t="str">
        <f t="shared" si="133"/>
        <v/>
      </c>
      <c r="J378" s="49" t="str">
        <f t="shared" si="134"/>
        <v/>
      </c>
      <c r="K378" s="50" t="str">
        <f t="shared" si="135"/>
        <v/>
      </c>
      <c r="L378" s="47" t="str">
        <f t="shared" si="136"/>
        <v/>
      </c>
      <c r="M378" s="47" t="str">
        <f t="shared" si="137"/>
        <v/>
      </c>
      <c r="N378" s="47" t="str">
        <f t="shared" si="138"/>
        <v/>
      </c>
      <c r="O378" s="47" t="str">
        <f t="shared" si="139"/>
        <v/>
      </c>
      <c r="P378" s="47" t="str">
        <f t="shared" si="140"/>
        <v/>
      </c>
      <c r="S378" s="15">
        <f t="shared" si="141"/>
        <v>0</v>
      </c>
      <c r="T378" s="15">
        <f t="shared" si="142"/>
        <v>1</v>
      </c>
      <c r="U378" s="15" t="e">
        <f t="shared" si="143"/>
        <v>#VALUE!</v>
      </c>
      <c r="V378" s="15" t="e">
        <f t="shared" si="144"/>
        <v>#VALUE!</v>
      </c>
      <c r="W378" s="15" t="e">
        <f t="shared" si="145"/>
        <v>#VALUE!</v>
      </c>
    </row>
    <row r="379" spans="1:23" x14ac:dyDescent="0.2">
      <c r="A379" s="48" t="str">
        <f t="shared" si="128"/>
        <v/>
      </c>
      <c r="B379" s="2"/>
      <c r="C379" s="51"/>
      <c r="D379" s="51"/>
      <c r="E379" s="14" t="str">
        <f t="shared" si="129"/>
        <v/>
      </c>
      <c r="F379" s="47" t="str">
        <f t="shared" si="130"/>
        <v/>
      </c>
      <c r="G379" s="47" t="str">
        <f t="shared" si="131"/>
        <v/>
      </c>
      <c r="H379" s="49" t="str">
        <f t="shared" si="132"/>
        <v/>
      </c>
      <c r="I379" s="50" t="str">
        <f t="shared" si="133"/>
        <v/>
      </c>
      <c r="J379" s="49" t="str">
        <f t="shared" si="134"/>
        <v/>
      </c>
      <c r="K379" s="50" t="str">
        <f t="shared" si="135"/>
        <v/>
      </c>
      <c r="L379" s="47" t="str">
        <f t="shared" si="136"/>
        <v/>
      </c>
      <c r="M379" s="47" t="str">
        <f t="shared" si="137"/>
        <v/>
      </c>
      <c r="N379" s="47" t="str">
        <f t="shared" si="138"/>
        <v/>
      </c>
      <c r="O379" s="47" t="str">
        <f t="shared" si="139"/>
        <v/>
      </c>
      <c r="P379" s="47" t="str">
        <f t="shared" si="140"/>
        <v/>
      </c>
      <c r="S379" s="15">
        <f t="shared" si="141"/>
        <v>0</v>
      </c>
      <c r="T379" s="15">
        <f t="shared" si="142"/>
        <v>1</v>
      </c>
      <c r="U379" s="15" t="e">
        <f t="shared" si="143"/>
        <v>#VALUE!</v>
      </c>
      <c r="V379" s="15" t="e">
        <f t="shared" si="144"/>
        <v>#VALUE!</v>
      </c>
      <c r="W379" s="15" t="e">
        <f t="shared" si="145"/>
        <v>#VALUE!</v>
      </c>
    </row>
    <row r="380" spans="1:23" x14ac:dyDescent="0.2">
      <c r="A380" s="48" t="str">
        <f t="shared" si="128"/>
        <v/>
      </c>
      <c r="B380" s="2"/>
      <c r="C380" s="51"/>
      <c r="D380" s="51"/>
      <c r="E380" s="14" t="str">
        <f t="shared" si="129"/>
        <v/>
      </c>
      <c r="F380" s="47" t="str">
        <f t="shared" si="130"/>
        <v/>
      </c>
      <c r="G380" s="47" t="str">
        <f t="shared" si="131"/>
        <v/>
      </c>
      <c r="H380" s="49" t="str">
        <f t="shared" si="132"/>
        <v/>
      </c>
      <c r="I380" s="50" t="str">
        <f t="shared" si="133"/>
        <v/>
      </c>
      <c r="J380" s="49" t="str">
        <f t="shared" si="134"/>
        <v/>
      </c>
      <c r="K380" s="50" t="str">
        <f t="shared" si="135"/>
        <v/>
      </c>
      <c r="L380" s="47" t="str">
        <f t="shared" si="136"/>
        <v/>
      </c>
      <c r="M380" s="47" t="str">
        <f t="shared" si="137"/>
        <v/>
      </c>
      <c r="N380" s="47" t="str">
        <f t="shared" si="138"/>
        <v/>
      </c>
      <c r="O380" s="47" t="str">
        <f t="shared" si="139"/>
        <v/>
      </c>
      <c r="P380" s="47" t="str">
        <f t="shared" si="140"/>
        <v/>
      </c>
      <c r="S380" s="15">
        <f t="shared" si="141"/>
        <v>0</v>
      </c>
      <c r="T380" s="15">
        <f t="shared" si="142"/>
        <v>1</v>
      </c>
      <c r="U380" s="15" t="e">
        <f t="shared" si="143"/>
        <v>#VALUE!</v>
      </c>
      <c r="V380" s="15" t="e">
        <f t="shared" si="144"/>
        <v>#VALUE!</v>
      </c>
      <c r="W380" s="15" t="e">
        <f t="shared" si="145"/>
        <v>#VALUE!</v>
      </c>
    </row>
    <row r="381" spans="1:23" x14ac:dyDescent="0.2">
      <c r="A381" s="48" t="str">
        <f t="shared" si="128"/>
        <v/>
      </c>
      <c r="B381" s="2"/>
      <c r="C381" s="51"/>
      <c r="D381" s="51"/>
      <c r="E381" s="14" t="str">
        <f t="shared" si="129"/>
        <v/>
      </c>
      <c r="F381" s="47" t="str">
        <f t="shared" si="130"/>
        <v/>
      </c>
      <c r="G381" s="47" t="str">
        <f t="shared" si="131"/>
        <v/>
      </c>
      <c r="H381" s="49" t="str">
        <f t="shared" si="132"/>
        <v/>
      </c>
      <c r="I381" s="50" t="str">
        <f t="shared" si="133"/>
        <v/>
      </c>
      <c r="J381" s="49" t="str">
        <f t="shared" si="134"/>
        <v/>
      </c>
      <c r="K381" s="50" t="str">
        <f t="shared" si="135"/>
        <v/>
      </c>
      <c r="L381" s="47" t="str">
        <f t="shared" si="136"/>
        <v/>
      </c>
      <c r="M381" s="47" t="str">
        <f t="shared" si="137"/>
        <v/>
      </c>
      <c r="N381" s="47" t="str">
        <f t="shared" si="138"/>
        <v/>
      </c>
      <c r="O381" s="47" t="str">
        <f t="shared" si="139"/>
        <v/>
      </c>
      <c r="P381" s="47" t="str">
        <f t="shared" si="140"/>
        <v/>
      </c>
      <c r="S381" s="15">
        <f t="shared" si="141"/>
        <v>0</v>
      </c>
      <c r="T381" s="15">
        <f t="shared" si="142"/>
        <v>1</v>
      </c>
      <c r="U381" s="15" t="e">
        <f t="shared" si="143"/>
        <v>#VALUE!</v>
      </c>
      <c r="V381" s="15" t="e">
        <f t="shared" si="144"/>
        <v>#VALUE!</v>
      </c>
      <c r="W381" s="15" t="e">
        <f t="shared" si="145"/>
        <v>#VALUE!</v>
      </c>
    </row>
    <row r="382" spans="1:23" x14ac:dyDescent="0.2">
      <c r="A382" s="48" t="str">
        <f t="shared" si="128"/>
        <v/>
      </c>
      <c r="B382" s="2"/>
      <c r="C382" s="51"/>
      <c r="D382" s="51"/>
      <c r="E382" s="14" t="str">
        <f t="shared" si="129"/>
        <v/>
      </c>
      <c r="F382" s="47" t="str">
        <f t="shared" si="130"/>
        <v/>
      </c>
      <c r="G382" s="47" t="str">
        <f t="shared" si="131"/>
        <v/>
      </c>
      <c r="H382" s="49" t="str">
        <f t="shared" si="132"/>
        <v/>
      </c>
      <c r="I382" s="50" t="str">
        <f t="shared" si="133"/>
        <v/>
      </c>
      <c r="J382" s="49" t="str">
        <f t="shared" si="134"/>
        <v/>
      </c>
      <c r="K382" s="50" t="str">
        <f t="shared" si="135"/>
        <v/>
      </c>
      <c r="L382" s="47" t="str">
        <f t="shared" si="136"/>
        <v/>
      </c>
      <c r="M382" s="47" t="str">
        <f t="shared" si="137"/>
        <v/>
      </c>
      <c r="N382" s="47" t="str">
        <f t="shared" si="138"/>
        <v/>
      </c>
      <c r="O382" s="47" t="str">
        <f t="shared" si="139"/>
        <v/>
      </c>
      <c r="P382" s="47" t="str">
        <f t="shared" si="140"/>
        <v/>
      </c>
      <c r="S382" s="15">
        <f t="shared" si="141"/>
        <v>0</v>
      </c>
      <c r="T382" s="15">
        <f t="shared" si="142"/>
        <v>1</v>
      </c>
      <c r="U382" s="15" t="e">
        <f t="shared" si="143"/>
        <v>#VALUE!</v>
      </c>
      <c r="V382" s="15" t="e">
        <f t="shared" si="144"/>
        <v>#VALUE!</v>
      </c>
      <c r="W382" s="15" t="e">
        <f t="shared" si="145"/>
        <v>#VALUE!</v>
      </c>
    </row>
    <row r="383" spans="1:23" x14ac:dyDescent="0.2">
      <c r="A383" s="48" t="str">
        <f t="shared" si="128"/>
        <v/>
      </c>
      <c r="B383" s="2"/>
      <c r="C383" s="51"/>
      <c r="D383" s="51"/>
      <c r="E383" s="14" t="str">
        <f t="shared" si="129"/>
        <v/>
      </c>
      <c r="F383" s="47" t="str">
        <f t="shared" si="130"/>
        <v/>
      </c>
      <c r="G383" s="47" t="str">
        <f t="shared" si="131"/>
        <v/>
      </c>
      <c r="H383" s="49" t="str">
        <f t="shared" si="132"/>
        <v/>
      </c>
      <c r="I383" s="50" t="str">
        <f t="shared" si="133"/>
        <v/>
      </c>
      <c r="J383" s="49" t="str">
        <f t="shared" si="134"/>
        <v/>
      </c>
      <c r="K383" s="50" t="str">
        <f t="shared" si="135"/>
        <v/>
      </c>
      <c r="L383" s="47" t="str">
        <f t="shared" si="136"/>
        <v/>
      </c>
      <c r="M383" s="47" t="str">
        <f t="shared" si="137"/>
        <v/>
      </c>
      <c r="N383" s="47" t="str">
        <f t="shared" si="138"/>
        <v/>
      </c>
      <c r="O383" s="47" t="str">
        <f t="shared" si="139"/>
        <v/>
      </c>
      <c r="P383" s="47" t="str">
        <f t="shared" si="140"/>
        <v/>
      </c>
      <c r="S383" s="15">
        <f t="shared" si="141"/>
        <v>0</v>
      </c>
      <c r="T383" s="15">
        <f t="shared" si="142"/>
        <v>1</v>
      </c>
      <c r="U383" s="15" t="e">
        <f t="shared" si="143"/>
        <v>#VALUE!</v>
      </c>
      <c r="V383" s="15" t="e">
        <f t="shared" si="144"/>
        <v>#VALUE!</v>
      </c>
      <c r="W383" s="15" t="e">
        <f t="shared" si="145"/>
        <v>#VALUE!</v>
      </c>
    </row>
    <row r="384" spans="1:23" x14ac:dyDescent="0.2">
      <c r="A384" s="48" t="str">
        <f t="shared" si="128"/>
        <v/>
      </c>
      <c r="B384" s="2"/>
      <c r="C384" s="51"/>
      <c r="D384" s="51"/>
      <c r="E384" s="14" t="str">
        <f t="shared" si="129"/>
        <v/>
      </c>
      <c r="F384" s="47" t="str">
        <f t="shared" si="130"/>
        <v/>
      </c>
      <c r="G384" s="47" t="str">
        <f t="shared" si="131"/>
        <v/>
      </c>
      <c r="H384" s="49" t="str">
        <f t="shared" si="132"/>
        <v/>
      </c>
      <c r="I384" s="50" t="str">
        <f t="shared" si="133"/>
        <v/>
      </c>
      <c r="J384" s="49" t="str">
        <f t="shared" si="134"/>
        <v/>
      </c>
      <c r="K384" s="50" t="str">
        <f t="shared" si="135"/>
        <v/>
      </c>
      <c r="L384" s="47" t="str">
        <f t="shared" si="136"/>
        <v/>
      </c>
      <c r="M384" s="47" t="str">
        <f t="shared" si="137"/>
        <v/>
      </c>
      <c r="N384" s="47" t="str">
        <f t="shared" si="138"/>
        <v/>
      </c>
      <c r="O384" s="47" t="str">
        <f t="shared" si="139"/>
        <v/>
      </c>
      <c r="P384" s="47" t="str">
        <f t="shared" si="140"/>
        <v/>
      </c>
      <c r="S384" s="15">
        <f t="shared" si="141"/>
        <v>0</v>
      </c>
      <c r="T384" s="15">
        <f t="shared" si="142"/>
        <v>1</v>
      </c>
      <c r="U384" s="15" t="e">
        <f t="shared" si="143"/>
        <v>#VALUE!</v>
      </c>
      <c r="V384" s="15" t="e">
        <f t="shared" si="144"/>
        <v>#VALUE!</v>
      </c>
      <c r="W384" s="15" t="e">
        <f t="shared" si="145"/>
        <v>#VALUE!</v>
      </c>
    </row>
    <row r="385" spans="1:23" x14ac:dyDescent="0.2">
      <c r="A385" s="48" t="str">
        <f t="shared" si="128"/>
        <v/>
      </c>
      <c r="B385" s="2"/>
      <c r="C385" s="51"/>
      <c r="D385" s="51"/>
      <c r="E385" s="14" t="str">
        <f t="shared" si="129"/>
        <v/>
      </c>
      <c r="F385" s="47" t="str">
        <f t="shared" si="130"/>
        <v/>
      </c>
      <c r="G385" s="47" t="str">
        <f t="shared" si="131"/>
        <v/>
      </c>
      <c r="H385" s="49" t="str">
        <f t="shared" si="132"/>
        <v/>
      </c>
      <c r="I385" s="50" t="str">
        <f t="shared" si="133"/>
        <v/>
      </c>
      <c r="J385" s="49" t="str">
        <f t="shared" si="134"/>
        <v/>
      </c>
      <c r="K385" s="50" t="str">
        <f t="shared" si="135"/>
        <v/>
      </c>
      <c r="L385" s="47" t="str">
        <f t="shared" si="136"/>
        <v/>
      </c>
      <c r="M385" s="47" t="str">
        <f t="shared" si="137"/>
        <v/>
      </c>
      <c r="N385" s="47" t="str">
        <f t="shared" si="138"/>
        <v/>
      </c>
      <c r="O385" s="47" t="str">
        <f t="shared" si="139"/>
        <v/>
      </c>
      <c r="P385" s="47" t="str">
        <f t="shared" si="140"/>
        <v/>
      </c>
      <c r="S385" s="15">
        <f t="shared" si="141"/>
        <v>0</v>
      </c>
      <c r="T385" s="15">
        <f t="shared" si="142"/>
        <v>1</v>
      </c>
      <c r="U385" s="15" t="e">
        <f t="shared" si="143"/>
        <v>#VALUE!</v>
      </c>
      <c r="V385" s="15" t="e">
        <f t="shared" si="144"/>
        <v>#VALUE!</v>
      </c>
      <c r="W385" s="15" t="e">
        <f t="shared" si="145"/>
        <v>#VALUE!</v>
      </c>
    </row>
    <row r="386" spans="1:23" x14ac:dyDescent="0.2">
      <c r="A386" s="48" t="str">
        <f t="shared" si="128"/>
        <v/>
      </c>
      <c r="B386" s="2"/>
      <c r="C386" s="51"/>
      <c r="D386" s="51"/>
      <c r="E386" s="14" t="str">
        <f t="shared" si="129"/>
        <v/>
      </c>
      <c r="F386" s="47" t="str">
        <f t="shared" si="130"/>
        <v/>
      </c>
      <c r="G386" s="47" t="str">
        <f t="shared" si="131"/>
        <v/>
      </c>
      <c r="H386" s="49" t="str">
        <f t="shared" si="132"/>
        <v/>
      </c>
      <c r="I386" s="50" t="str">
        <f t="shared" si="133"/>
        <v/>
      </c>
      <c r="J386" s="49" t="str">
        <f t="shared" si="134"/>
        <v/>
      </c>
      <c r="K386" s="50" t="str">
        <f t="shared" si="135"/>
        <v/>
      </c>
      <c r="L386" s="47" t="str">
        <f t="shared" si="136"/>
        <v/>
      </c>
      <c r="M386" s="47" t="str">
        <f t="shared" si="137"/>
        <v/>
      </c>
      <c r="N386" s="47" t="str">
        <f t="shared" si="138"/>
        <v/>
      </c>
      <c r="O386" s="47" t="str">
        <f t="shared" si="139"/>
        <v/>
      </c>
      <c r="P386" s="47" t="str">
        <f t="shared" si="140"/>
        <v/>
      </c>
      <c r="S386" s="15">
        <f t="shared" si="141"/>
        <v>0</v>
      </c>
      <c r="T386" s="15">
        <f t="shared" si="142"/>
        <v>1</v>
      </c>
      <c r="U386" s="15" t="e">
        <f t="shared" si="143"/>
        <v>#VALUE!</v>
      </c>
      <c r="V386" s="15" t="e">
        <f t="shared" si="144"/>
        <v>#VALUE!</v>
      </c>
      <c r="W386" s="15" t="e">
        <f t="shared" si="145"/>
        <v>#VALUE!</v>
      </c>
    </row>
    <row r="387" spans="1:23" x14ac:dyDescent="0.2">
      <c r="A387" s="48" t="str">
        <f t="shared" si="128"/>
        <v/>
      </c>
      <c r="B387" s="2"/>
      <c r="C387" s="51"/>
      <c r="D387" s="51"/>
      <c r="E387" s="14" t="str">
        <f t="shared" si="129"/>
        <v/>
      </c>
      <c r="F387" s="47" t="str">
        <f t="shared" si="130"/>
        <v/>
      </c>
      <c r="G387" s="47" t="str">
        <f t="shared" si="131"/>
        <v/>
      </c>
      <c r="H387" s="49" t="str">
        <f t="shared" si="132"/>
        <v/>
      </c>
      <c r="I387" s="50" t="str">
        <f t="shared" si="133"/>
        <v/>
      </c>
      <c r="J387" s="49" t="str">
        <f t="shared" si="134"/>
        <v/>
      </c>
      <c r="K387" s="50" t="str">
        <f t="shared" si="135"/>
        <v/>
      </c>
      <c r="L387" s="47" t="str">
        <f t="shared" si="136"/>
        <v/>
      </c>
      <c r="M387" s="47" t="str">
        <f t="shared" si="137"/>
        <v/>
      </c>
      <c r="N387" s="47" t="str">
        <f t="shared" si="138"/>
        <v/>
      </c>
      <c r="O387" s="47" t="str">
        <f t="shared" si="139"/>
        <v/>
      </c>
      <c r="P387" s="47" t="str">
        <f t="shared" si="140"/>
        <v/>
      </c>
      <c r="S387" s="15">
        <f t="shared" si="141"/>
        <v>0</v>
      </c>
      <c r="T387" s="15">
        <f t="shared" si="142"/>
        <v>1</v>
      </c>
      <c r="U387" s="15" t="e">
        <f t="shared" si="143"/>
        <v>#VALUE!</v>
      </c>
      <c r="V387" s="15" t="e">
        <f t="shared" si="144"/>
        <v>#VALUE!</v>
      </c>
      <c r="W387" s="15" t="e">
        <f t="shared" si="145"/>
        <v>#VALUE!</v>
      </c>
    </row>
    <row r="388" spans="1:23" x14ac:dyDescent="0.2">
      <c r="A388" s="48" t="str">
        <f t="shared" si="128"/>
        <v/>
      </c>
      <c r="B388" s="2"/>
      <c r="C388" s="51"/>
      <c r="D388" s="51"/>
      <c r="E388" s="14" t="str">
        <f t="shared" si="129"/>
        <v/>
      </c>
      <c r="F388" s="47" t="str">
        <f t="shared" si="130"/>
        <v/>
      </c>
      <c r="G388" s="47" t="str">
        <f t="shared" si="131"/>
        <v/>
      </c>
      <c r="H388" s="49" t="str">
        <f t="shared" si="132"/>
        <v/>
      </c>
      <c r="I388" s="50" t="str">
        <f t="shared" si="133"/>
        <v/>
      </c>
      <c r="J388" s="49" t="str">
        <f t="shared" si="134"/>
        <v/>
      </c>
      <c r="K388" s="50" t="str">
        <f t="shared" si="135"/>
        <v/>
      </c>
      <c r="L388" s="47" t="str">
        <f t="shared" si="136"/>
        <v/>
      </c>
      <c r="M388" s="47" t="str">
        <f t="shared" si="137"/>
        <v/>
      </c>
      <c r="N388" s="47" t="str">
        <f t="shared" si="138"/>
        <v/>
      </c>
      <c r="O388" s="47" t="str">
        <f t="shared" si="139"/>
        <v/>
      </c>
      <c r="P388" s="47" t="str">
        <f t="shared" si="140"/>
        <v/>
      </c>
      <c r="S388" s="15">
        <f t="shared" si="141"/>
        <v>0</v>
      </c>
      <c r="T388" s="15">
        <f t="shared" si="142"/>
        <v>1</v>
      </c>
      <c r="U388" s="15" t="e">
        <f t="shared" si="143"/>
        <v>#VALUE!</v>
      </c>
      <c r="V388" s="15" t="e">
        <f t="shared" si="144"/>
        <v>#VALUE!</v>
      </c>
      <c r="W388" s="15" t="e">
        <f t="shared" si="145"/>
        <v>#VALUE!</v>
      </c>
    </row>
    <row r="389" spans="1:23" x14ac:dyDescent="0.2">
      <c r="A389" s="48" t="str">
        <f t="shared" si="128"/>
        <v/>
      </c>
      <c r="B389" s="2"/>
      <c r="C389" s="51"/>
      <c r="D389" s="51"/>
      <c r="E389" s="14" t="str">
        <f t="shared" si="129"/>
        <v/>
      </c>
      <c r="F389" s="47" t="str">
        <f t="shared" si="130"/>
        <v/>
      </c>
      <c r="G389" s="47" t="str">
        <f t="shared" si="131"/>
        <v/>
      </c>
      <c r="H389" s="49" t="str">
        <f t="shared" si="132"/>
        <v/>
      </c>
      <c r="I389" s="50" t="str">
        <f t="shared" si="133"/>
        <v/>
      </c>
      <c r="J389" s="49" t="str">
        <f t="shared" si="134"/>
        <v/>
      </c>
      <c r="K389" s="50" t="str">
        <f t="shared" si="135"/>
        <v/>
      </c>
      <c r="L389" s="47" t="str">
        <f t="shared" si="136"/>
        <v/>
      </c>
      <c r="M389" s="47" t="str">
        <f t="shared" si="137"/>
        <v/>
      </c>
      <c r="N389" s="47" t="str">
        <f t="shared" si="138"/>
        <v/>
      </c>
      <c r="O389" s="47" t="str">
        <f t="shared" si="139"/>
        <v/>
      </c>
      <c r="P389" s="47" t="str">
        <f t="shared" si="140"/>
        <v/>
      </c>
      <c r="S389" s="15">
        <f t="shared" si="141"/>
        <v>0</v>
      </c>
      <c r="T389" s="15">
        <f t="shared" si="142"/>
        <v>1</v>
      </c>
      <c r="U389" s="15" t="e">
        <f t="shared" si="143"/>
        <v>#VALUE!</v>
      </c>
      <c r="V389" s="15" t="e">
        <f t="shared" si="144"/>
        <v>#VALUE!</v>
      </c>
      <c r="W389" s="15" t="e">
        <f t="shared" si="145"/>
        <v>#VALUE!</v>
      </c>
    </row>
    <row r="390" spans="1:23" x14ac:dyDescent="0.2">
      <c r="A390" s="48" t="str">
        <f t="shared" si="128"/>
        <v/>
      </c>
      <c r="B390" s="2"/>
      <c r="C390" s="51"/>
      <c r="D390" s="51"/>
      <c r="E390" s="14" t="str">
        <f t="shared" si="129"/>
        <v/>
      </c>
      <c r="F390" s="47" t="str">
        <f t="shared" si="130"/>
        <v/>
      </c>
      <c r="G390" s="47" t="str">
        <f t="shared" si="131"/>
        <v/>
      </c>
      <c r="H390" s="49" t="str">
        <f t="shared" si="132"/>
        <v/>
      </c>
      <c r="I390" s="50" t="str">
        <f t="shared" si="133"/>
        <v/>
      </c>
      <c r="J390" s="49" t="str">
        <f t="shared" si="134"/>
        <v/>
      </c>
      <c r="K390" s="50" t="str">
        <f t="shared" si="135"/>
        <v/>
      </c>
      <c r="L390" s="47" t="str">
        <f t="shared" si="136"/>
        <v/>
      </c>
      <c r="M390" s="47" t="str">
        <f t="shared" si="137"/>
        <v/>
      </c>
      <c r="N390" s="47" t="str">
        <f t="shared" si="138"/>
        <v/>
      </c>
      <c r="O390" s="47" t="str">
        <f t="shared" si="139"/>
        <v/>
      </c>
      <c r="P390" s="47" t="str">
        <f t="shared" si="140"/>
        <v/>
      </c>
      <c r="S390" s="15">
        <f t="shared" si="141"/>
        <v>0</v>
      </c>
      <c r="T390" s="15">
        <f t="shared" si="142"/>
        <v>1</v>
      </c>
      <c r="U390" s="15" t="e">
        <f t="shared" si="143"/>
        <v>#VALUE!</v>
      </c>
      <c r="V390" s="15" t="e">
        <f t="shared" si="144"/>
        <v>#VALUE!</v>
      </c>
      <c r="W390" s="15" t="e">
        <f t="shared" si="145"/>
        <v>#VALUE!</v>
      </c>
    </row>
    <row r="391" spans="1:23" x14ac:dyDescent="0.2">
      <c r="A391" s="48" t="str">
        <f t="shared" si="128"/>
        <v/>
      </c>
      <c r="B391" s="2"/>
      <c r="C391" s="51"/>
      <c r="D391" s="51"/>
      <c r="E391" s="14" t="str">
        <f t="shared" si="129"/>
        <v/>
      </c>
      <c r="F391" s="47" t="str">
        <f t="shared" si="130"/>
        <v/>
      </c>
      <c r="G391" s="47" t="str">
        <f t="shared" si="131"/>
        <v/>
      </c>
      <c r="H391" s="49" t="str">
        <f t="shared" si="132"/>
        <v/>
      </c>
      <c r="I391" s="50" t="str">
        <f t="shared" si="133"/>
        <v/>
      </c>
      <c r="J391" s="49" t="str">
        <f t="shared" si="134"/>
        <v/>
      </c>
      <c r="K391" s="50" t="str">
        <f t="shared" si="135"/>
        <v/>
      </c>
      <c r="L391" s="47" t="str">
        <f t="shared" si="136"/>
        <v/>
      </c>
      <c r="M391" s="47" t="str">
        <f t="shared" si="137"/>
        <v/>
      </c>
      <c r="N391" s="47" t="str">
        <f t="shared" si="138"/>
        <v/>
      </c>
      <c r="O391" s="47" t="str">
        <f t="shared" si="139"/>
        <v/>
      </c>
      <c r="P391" s="47" t="str">
        <f t="shared" si="140"/>
        <v/>
      </c>
      <c r="S391" s="15">
        <f t="shared" si="141"/>
        <v>0</v>
      </c>
      <c r="T391" s="15">
        <f t="shared" si="142"/>
        <v>1</v>
      </c>
      <c r="U391" s="15" t="e">
        <f t="shared" si="143"/>
        <v>#VALUE!</v>
      </c>
      <c r="V391" s="15" t="e">
        <f t="shared" si="144"/>
        <v>#VALUE!</v>
      </c>
      <c r="W391" s="15" t="e">
        <f t="shared" si="145"/>
        <v>#VALUE!</v>
      </c>
    </row>
    <row r="392" spans="1:23" x14ac:dyDescent="0.2">
      <c r="A392" s="48" t="str">
        <f t="shared" si="128"/>
        <v/>
      </c>
      <c r="B392" s="2"/>
      <c r="C392" s="51"/>
      <c r="D392" s="51"/>
      <c r="E392" s="14" t="str">
        <f t="shared" si="129"/>
        <v/>
      </c>
      <c r="F392" s="47" t="str">
        <f t="shared" si="130"/>
        <v/>
      </c>
      <c r="G392" s="47" t="str">
        <f t="shared" si="131"/>
        <v/>
      </c>
      <c r="H392" s="49" t="str">
        <f t="shared" si="132"/>
        <v/>
      </c>
      <c r="I392" s="50" t="str">
        <f t="shared" si="133"/>
        <v/>
      </c>
      <c r="J392" s="49" t="str">
        <f t="shared" si="134"/>
        <v/>
      </c>
      <c r="K392" s="50" t="str">
        <f t="shared" si="135"/>
        <v/>
      </c>
      <c r="L392" s="47" t="str">
        <f t="shared" si="136"/>
        <v/>
      </c>
      <c r="M392" s="47" t="str">
        <f t="shared" si="137"/>
        <v/>
      </c>
      <c r="N392" s="47" t="str">
        <f t="shared" si="138"/>
        <v/>
      </c>
      <c r="O392" s="47" t="str">
        <f t="shared" si="139"/>
        <v/>
      </c>
      <c r="P392" s="47" t="str">
        <f t="shared" si="140"/>
        <v/>
      </c>
      <c r="S392" s="15">
        <f t="shared" si="141"/>
        <v>0</v>
      </c>
      <c r="T392" s="15">
        <f t="shared" si="142"/>
        <v>1</v>
      </c>
      <c r="U392" s="15" t="e">
        <f t="shared" si="143"/>
        <v>#VALUE!</v>
      </c>
      <c r="V392" s="15" t="e">
        <f t="shared" si="144"/>
        <v>#VALUE!</v>
      </c>
      <c r="W392" s="15" t="e">
        <f t="shared" si="145"/>
        <v>#VALUE!</v>
      </c>
    </row>
    <row r="393" spans="1:23" x14ac:dyDescent="0.2">
      <c r="A393" s="48" t="str">
        <f t="shared" si="128"/>
        <v/>
      </c>
      <c r="B393" s="2"/>
      <c r="C393" s="51"/>
      <c r="D393" s="51"/>
      <c r="E393" s="14" t="str">
        <f t="shared" si="129"/>
        <v/>
      </c>
      <c r="F393" s="47" t="str">
        <f t="shared" si="130"/>
        <v/>
      </c>
      <c r="G393" s="47" t="str">
        <f t="shared" si="131"/>
        <v/>
      </c>
      <c r="H393" s="49" t="str">
        <f t="shared" si="132"/>
        <v/>
      </c>
      <c r="I393" s="50" t="str">
        <f t="shared" si="133"/>
        <v/>
      </c>
      <c r="J393" s="49" t="str">
        <f t="shared" si="134"/>
        <v/>
      </c>
      <c r="K393" s="50" t="str">
        <f t="shared" si="135"/>
        <v/>
      </c>
      <c r="L393" s="47" t="str">
        <f t="shared" si="136"/>
        <v/>
      </c>
      <c r="M393" s="47" t="str">
        <f t="shared" si="137"/>
        <v/>
      </c>
      <c r="N393" s="47" t="str">
        <f t="shared" si="138"/>
        <v/>
      </c>
      <c r="O393" s="47" t="str">
        <f t="shared" si="139"/>
        <v/>
      </c>
      <c r="P393" s="47" t="str">
        <f t="shared" si="140"/>
        <v/>
      </c>
      <c r="S393" s="15">
        <f t="shared" si="141"/>
        <v>0</v>
      </c>
      <c r="T393" s="15">
        <f t="shared" si="142"/>
        <v>1</v>
      </c>
      <c r="U393" s="15" t="e">
        <f t="shared" si="143"/>
        <v>#VALUE!</v>
      </c>
      <c r="V393" s="15" t="e">
        <f t="shared" si="144"/>
        <v>#VALUE!</v>
      </c>
      <c r="W393" s="15" t="e">
        <f t="shared" si="145"/>
        <v>#VALUE!</v>
      </c>
    </row>
    <row r="394" spans="1:23" x14ac:dyDescent="0.2">
      <c r="A394" s="48" t="str">
        <f t="shared" si="128"/>
        <v/>
      </c>
      <c r="B394" s="2"/>
      <c r="C394" s="51"/>
      <c r="D394" s="51"/>
      <c r="E394" s="14" t="str">
        <f t="shared" si="129"/>
        <v/>
      </c>
      <c r="F394" s="47" t="str">
        <f t="shared" si="130"/>
        <v/>
      </c>
      <c r="G394" s="47" t="str">
        <f t="shared" si="131"/>
        <v/>
      </c>
      <c r="H394" s="49" t="str">
        <f t="shared" si="132"/>
        <v/>
      </c>
      <c r="I394" s="50" t="str">
        <f t="shared" si="133"/>
        <v/>
      </c>
      <c r="J394" s="49" t="str">
        <f t="shared" si="134"/>
        <v/>
      </c>
      <c r="K394" s="50" t="str">
        <f t="shared" si="135"/>
        <v/>
      </c>
      <c r="L394" s="47" t="str">
        <f t="shared" si="136"/>
        <v/>
      </c>
      <c r="M394" s="47" t="str">
        <f t="shared" si="137"/>
        <v/>
      </c>
      <c r="N394" s="47" t="str">
        <f t="shared" si="138"/>
        <v/>
      </c>
      <c r="O394" s="47" t="str">
        <f t="shared" si="139"/>
        <v/>
      </c>
      <c r="P394" s="47" t="str">
        <f t="shared" si="140"/>
        <v/>
      </c>
      <c r="S394" s="15">
        <f t="shared" si="141"/>
        <v>0</v>
      </c>
      <c r="T394" s="15">
        <f t="shared" si="142"/>
        <v>1</v>
      </c>
      <c r="U394" s="15" t="e">
        <f t="shared" si="143"/>
        <v>#VALUE!</v>
      </c>
      <c r="V394" s="15" t="e">
        <f t="shared" si="144"/>
        <v>#VALUE!</v>
      </c>
      <c r="W394" s="15" t="e">
        <f t="shared" si="145"/>
        <v>#VALUE!</v>
      </c>
    </row>
    <row r="395" spans="1:23" x14ac:dyDescent="0.2">
      <c r="A395" s="48" t="str">
        <f t="shared" si="128"/>
        <v/>
      </c>
      <c r="B395" s="2"/>
      <c r="C395" s="51"/>
      <c r="D395" s="51"/>
      <c r="E395" s="14" t="str">
        <f t="shared" si="129"/>
        <v/>
      </c>
      <c r="F395" s="47" t="str">
        <f t="shared" si="130"/>
        <v/>
      </c>
      <c r="G395" s="47" t="str">
        <f t="shared" si="131"/>
        <v/>
      </c>
      <c r="H395" s="49" t="str">
        <f t="shared" si="132"/>
        <v/>
      </c>
      <c r="I395" s="50" t="str">
        <f t="shared" si="133"/>
        <v/>
      </c>
      <c r="J395" s="49" t="str">
        <f t="shared" si="134"/>
        <v/>
      </c>
      <c r="K395" s="50" t="str">
        <f t="shared" si="135"/>
        <v/>
      </c>
      <c r="L395" s="47" t="str">
        <f t="shared" si="136"/>
        <v/>
      </c>
      <c r="M395" s="47" t="str">
        <f t="shared" si="137"/>
        <v/>
      </c>
      <c r="N395" s="47" t="str">
        <f t="shared" si="138"/>
        <v/>
      </c>
      <c r="O395" s="47" t="str">
        <f t="shared" si="139"/>
        <v/>
      </c>
      <c r="P395" s="47" t="str">
        <f t="shared" si="140"/>
        <v/>
      </c>
      <c r="S395" s="15">
        <f t="shared" si="141"/>
        <v>0</v>
      </c>
      <c r="T395" s="15">
        <f t="shared" si="142"/>
        <v>1</v>
      </c>
      <c r="U395" s="15" t="e">
        <f t="shared" si="143"/>
        <v>#VALUE!</v>
      </c>
      <c r="V395" s="15" t="e">
        <f t="shared" si="144"/>
        <v>#VALUE!</v>
      </c>
      <c r="W395" s="15" t="e">
        <f t="shared" si="145"/>
        <v>#VALUE!</v>
      </c>
    </row>
    <row r="396" spans="1:23" x14ac:dyDescent="0.2">
      <c r="A396" s="48" t="str">
        <f t="shared" si="128"/>
        <v/>
      </c>
      <c r="B396" s="2"/>
      <c r="C396" s="51"/>
      <c r="D396" s="51"/>
      <c r="E396" s="14" t="str">
        <f t="shared" si="129"/>
        <v/>
      </c>
      <c r="F396" s="47" t="str">
        <f t="shared" si="130"/>
        <v/>
      </c>
      <c r="G396" s="47" t="str">
        <f t="shared" si="131"/>
        <v/>
      </c>
      <c r="H396" s="49" t="str">
        <f t="shared" si="132"/>
        <v/>
      </c>
      <c r="I396" s="50" t="str">
        <f t="shared" si="133"/>
        <v/>
      </c>
      <c r="J396" s="49" t="str">
        <f t="shared" si="134"/>
        <v/>
      </c>
      <c r="K396" s="50" t="str">
        <f t="shared" si="135"/>
        <v/>
      </c>
      <c r="L396" s="47" t="str">
        <f t="shared" si="136"/>
        <v/>
      </c>
      <c r="M396" s="47" t="str">
        <f t="shared" si="137"/>
        <v/>
      </c>
      <c r="N396" s="47" t="str">
        <f t="shared" si="138"/>
        <v/>
      </c>
      <c r="O396" s="47" t="str">
        <f t="shared" si="139"/>
        <v/>
      </c>
      <c r="P396" s="47" t="str">
        <f t="shared" si="140"/>
        <v/>
      </c>
      <c r="S396" s="15">
        <f t="shared" si="141"/>
        <v>0</v>
      </c>
      <c r="T396" s="15">
        <f t="shared" si="142"/>
        <v>1</v>
      </c>
      <c r="U396" s="15" t="e">
        <f t="shared" si="143"/>
        <v>#VALUE!</v>
      </c>
      <c r="V396" s="15" t="e">
        <f t="shared" si="144"/>
        <v>#VALUE!</v>
      </c>
      <c r="W396" s="15" t="e">
        <f t="shared" si="145"/>
        <v>#VALUE!</v>
      </c>
    </row>
    <row r="397" spans="1:23" x14ac:dyDescent="0.2">
      <c r="A397" s="48" t="str">
        <f t="shared" ref="A397:A460" si="146">IF(B397="","",IF(AND(B397&lt;&gt;"",B398=""),"Proj.",A396+1))</f>
        <v/>
      </c>
      <c r="B397" s="2"/>
      <c r="C397" s="51"/>
      <c r="D397" s="51"/>
      <c r="E397" s="14" t="str">
        <f t="shared" si="129"/>
        <v/>
      </c>
      <c r="F397" s="47" t="str">
        <f t="shared" si="130"/>
        <v/>
      </c>
      <c r="G397" s="47" t="str">
        <f t="shared" si="131"/>
        <v/>
      </c>
      <c r="H397" s="49" t="str">
        <f t="shared" si="132"/>
        <v/>
      </c>
      <c r="I397" s="50" t="str">
        <f t="shared" si="133"/>
        <v/>
      </c>
      <c r="J397" s="49" t="str">
        <f t="shared" si="134"/>
        <v/>
      </c>
      <c r="K397" s="50" t="str">
        <f t="shared" si="135"/>
        <v/>
      </c>
      <c r="L397" s="47" t="str">
        <f t="shared" si="136"/>
        <v/>
      </c>
      <c r="M397" s="47" t="str">
        <f t="shared" si="137"/>
        <v/>
      </c>
      <c r="N397" s="47" t="str">
        <f t="shared" si="138"/>
        <v/>
      </c>
      <c r="O397" s="47" t="str">
        <f t="shared" si="139"/>
        <v/>
      </c>
      <c r="P397" s="47" t="str">
        <f t="shared" si="140"/>
        <v/>
      </c>
      <c r="S397" s="15">
        <f t="shared" si="141"/>
        <v>0</v>
      </c>
      <c r="T397" s="15">
        <f t="shared" si="142"/>
        <v>1</v>
      </c>
      <c r="U397" s="15" t="e">
        <f t="shared" si="143"/>
        <v>#VALUE!</v>
      </c>
      <c r="V397" s="15" t="e">
        <f t="shared" si="144"/>
        <v>#VALUE!</v>
      </c>
      <c r="W397" s="15" t="e">
        <f t="shared" si="145"/>
        <v>#VALUE!</v>
      </c>
    </row>
    <row r="398" spans="1:23" x14ac:dyDescent="0.2">
      <c r="A398" s="48" t="str">
        <f t="shared" si="146"/>
        <v/>
      </c>
      <c r="B398" s="2"/>
      <c r="C398" s="51"/>
      <c r="D398" s="51"/>
      <c r="E398" s="14" t="str">
        <f t="shared" si="129"/>
        <v/>
      </c>
      <c r="F398" s="47" t="str">
        <f t="shared" si="130"/>
        <v/>
      </c>
      <c r="G398" s="47" t="str">
        <f t="shared" si="131"/>
        <v/>
      </c>
      <c r="H398" s="49" t="str">
        <f t="shared" si="132"/>
        <v/>
      </c>
      <c r="I398" s="50" t="str">
        <f t="shared" si="133"/>
        <v/>
      </c>
      <c r="J398" s="49" t="str">
        <f t="shared" si="134"/>
        <v/>
      </c>
      <c r="K398" s="50" t="str">
        <f t="shared" si="135"/>
        <v/>
      </c>
      <c r="L398" s="47" t="str">
        <f t="shared" si="136"/>
        <v/>
      </c>
      <c r="M398" s="47" t="str">
        <f t="shared" si="137"/>
        <v/>
      </c>
      <c r="N398" s="47" t="str">
        <f t="shared" si="138"/>
        <v/>
      </c>
      <c r="O398" s="47" t="str">
        <f t="shared" si="139"/>
        <v/>
      </c>
      <c r="P398" s="47" t="str">
        <f t="shared" si="140"/>
        <v/>
      </c>
      <c r="S398" s="15">
        <f t="shared" si="141"/>
        <v>0</v>
      </c>
      <c r="T398" s="15">
        <f t="shared" si="142"/>
        <v>1</v>
      </c>
      <c r="U398" s="15" t="e">
        <f t="shared" si="143"/>
        <v>#VALUE!</v>
      </c>
      <c r="V398" s="15" t="e">
        <f t="shared" si="144"/>
        <v>#VALUE!</v>
      </c>
      <c r="W398" s="15" t="e">
        <f t="shared" si="145"/>
        <v>#VALUE!</v>
      </c>
    </row>
    <row r="399" spans="1:23" x14ac:dyDescent="0.2">
      <c r="A399" s="48" t="str">
        <f t="shared" si="146"/>
        <v/>
      </c>
      <c r="B399" s="2"/>
      <c r="C399" s="51"/>
      <c r="D399" s="51"/>
      <c r="E399" s="14" t="str">
        <f t="shared" si="129"/>
        <v/>
      </c>
      <c r="F399" s="47" t="str">
        <f t="shared" si="130"/>
        <v/>
      </c>
      <c r="G399" s="47" t="str">
        <f t="shared" si="131"/>
        <v/>
      </c>
      <c r="H399" s="49" t="str">
        <f t="shared" si="132"/>
        <v/>
      </c>
      <c r="I399" s="50" t="str">
        <f t="shared" si="133"/>
        <v/>
      </c>
      <c r="J399" s="49" t="str">
        <f t="shared" si="134"/>
        <v/>
      </c>
      <c r="K399" s="50" t="str">
        <f t="shared" si="135"/>
        <v/>
      </c>
      <c r="L399" s="47" t="str">
        <f t="shared" si="136"/>
        <v/>
      </c>
      <c r="M399" s="47" t="str">
        <f t="shared" si="137"/>
        <v/>
      </c>
      <c r="N399" s="47" t="str">
        <f t="shared" si="138"/>
        <v/>
      </c>
      <c r="O399" s="47" t="str">
        <f t="shared" si="139"/>
        <v/>
      </c>
      <c r="P399" s="47" t="str">
        <f t="shared" si="140"/>
        <v/>
      </c>
      <c r="S399" s="15">
        <f t="shared" si="141"/>
        <v>0</v>
      </c>
      <c r="T399" s="15">
        <f t="shared" si="142"/>
        <v>1</v>
      </c>
      <c r="U399" s="15" t="e">
        <f t="shared" si="143"/>
        <v>#VALUE!</v>
      </c>
      <c r="V399" s="15" t="e">
        <f t="shared" si="144"/>
        <v>#VALUE!</v>
      </c>
      <c r="W399" s="15" t="e">
        <f t="shared" si="145"/>
        <v>#VALUE!</v>
      </c>
    </row>
    <row r="400" spans="1:23" x14ac:dyDescent="0.2">
      <c r="A400" s="48" t="str">
        <f t="shared" si="146"/>
        <v/>
      </c>
      <c r="B400" s="2"/>
      <c r="C400" s="51"/>
      <c r="D400" s="51"/>
      <c r="E400" s="14" t="str">
        <f t="shared" si="129"/>
        <v/>
      </c>
      <c r="F400" s="47" t="str">
        <f t="shared" si="130"/>
        <v/>
      </c>
      <c r="G400" s="47" t="str">
        <f t="shared" si="131"/>
        <v/>
      </c>
      <c r="H400" s="49" t="str">
        <f t="shared" si="132"/>
        <v/>
      </c>
      <c r="I400" s="50" t="str">
        <f t="shared" si="133"/>
        <v/>
      </c>
      <c r="J400" s="49" t="str">
        <f t="shared" si="134"/>
        <v/>
      </c>
      <c r="K400" s="50" t="str">
        <f t="shared" si="135"/>
        <v/>
      </c>
      <c r="L400" s="47" t="str">
        <f t="shared" si="136"/>
        <v/>
      </c>
      <c r="M400" s="47" t="str">
        <f t="shared" si="137"/>
        <v/>
      </c>
      <c r="N400" s="47" t="str">
        <f t="shared" si="138"/>
        <v/>
      </c>
      <c r="O400" s="47" t="str">
        <f t="shared" si="139"/>
        <v/>
      </c>
      <c r="P400" s="47" t="str">
        <f t="shared" si="140"/>
        <v/>
      </c>
      <c r="S400" s="15">
        <f t="shared" si="141"/>
        <v>0</v>
      </c>
      <c r="T400" s="15">
        <f t="shared" si="142"/>
        <v>1</v>
      </c>
      <c r="U400" s="15" t="e">
        <f t="shared" si="143"/>
        <v>#VALUE!</v>
      </c>
      <c r="V400" s="15" t="e">
        <f t="shared" si="144"/>
        <v>#VALUE!</v>
      </c>
      <c r="W400" s="15" t="e">
        <f t="shared" si="145"/>
        <v>#VALUE!</v>
      </c>
    </row>
    <row r="401" spans="1:4" x14ac:dyDescent="0.2">
      <c r="A401" s="48" t="str">
        <f t="shared" si="146"/>
        <v/>
      </c>
      <c r="B401" s="9"/>
      <c r="C401" s="1"/>
      <c r="D401" s="1"/>
    </row>
    <row r="402" spans="1:4" x14ac:dyDescent="0.2">
      <c r="A402" s="48" t="str">
        <f t="shared" si="146"/>
        <v/>
      </c>
      <c r="B402" s="9"/>
      <c r="C402" s="1"/>
      <c r="D402" s="1"/>
    </row>
    <row r="403" spans="1:4" x14ac:dyDescent="0.2">
      <c r="A403" s="48" t="str">
        <f t="shared" si="146"/>
        <v/>
      </c>
      <c r="B403" s="9"/>
      <c r="C403" s="1"/>
      <c r="D403" s="1"/>
    </row>
    <row r="404" spans="1:4" x14ac:dyDescent="0.2">
      <c r="A404" s="48" t="str">
        <f t="shared" si="146"/>
        <v/>
      </c>
      <c r="B404" s="9"/>
      <c r="C404" s="1"/>
      <c r="D404" s="1"/>
    </row>
    <row r="405" spans="1:4" x14ac:dyDescent="0.2">
      <c r="A405" s="48" t="str">
        <f t="shared" si="146"/>
        <v/>
      </c>
      <c r="B405" s="9"/>
      <c r="C405" s="1"/>
      <c r="D405" s="1"/>
    </row>
    <row r="406" spans="1:4" x14ac:dyDescent="0.2">
      <c r="A406" s="48" t="str">
        <f t="shared" si="146"/>
        <v/>
      </c>
      <c r="B406" s="9"/>
      <c r="C406" s="1"/>
      <c r="D406" s="1"/>
    </row>
    <row r="407" spans="1:4" x14ac:dyDescent="0.2">
      <c r="A407" s="48" t="str">
        <f t="shared" si="146"/>
        <v/>
      </c>
      <c r="B407" s="9"/>
      <c r="C407" s="1"/>
      <c r="D407" s="1"/>
    </row>
    <row r="408" spans="1:4" x14ac:dyDescent="0.2">
      <c r="A408" s="48" t="str">
        <f t="shared" si="146"/>
        <v/>
      </c>
      <c r="B408" s="9"/>
      <c r="C408" s="1"/>
      <c r="D408" s="1"/>
    </row>
    <row r="409" spans="1:4" x14ac:dyDescent="0.2">
      <c r="A409" s="48" t="str">
        <f t="shared" si="146"/>
        <v/>
      </c>
      <c r="B409" s="9"/>
      <c r="C409" s="1"/>
      <c r="D409" s="1"/>
    </row>
    <row r="410" spans="1:4" x14ac:dyDescent="0.2">
      <c r="A410" s="48" t="str">
        <f t="shared" si="146"/>
        <v/>
      </c>
      <c r="B410" s="9"/>
      <c r="C410" s="1"/>
      <c r="D410" s="1"/>
    </row>
    <row r="411" spans="1:4" x14ac:dyDescent="0.2">
      <c r="A411" s="48" t="str">
        <f t="shared" si="146"/>
        <v/>
      </c>
      <c r="B411" s="9"/>
      <c r="C411" s="1"/>
      <c r="D411" s="1"/>
    </row>
    <row r="412" spans="1:4" x14ac:dyDescent="0.2">
      <c r="A412" s="48" t="str">
        <f t="shared" si="146"/>
        <v/>
      </c>
      <c r="B412" s="9"/>
      <c r="C412" s="1"/>
      <c r="D412" s="1"/>
    </row>
    <row r="413" spans="1:4" x14ac:dyDescent="0.2">
      <c r="A413" s="48" t="str">
        <f t="shared" si="146"/>
        <v/>
      </c>
      <c r="B413" s="9"/>
      <c r="C413" s="1"/>
      <c r="D413" s="1"/>
    </row>
    <row r="414" spans="1:4" x14ac:dyDescent="0.2">
      <c r="A414" s="48" t="str">
        <f t="shared" si="146"/>
        <v/>
      </c>
      <c r="B414" s="9"/>
      <c r="C414" s="1"/>
      <c r="D414" s="1"/>
    </row>
    <row r="415" spans="1:4" x14ac:dyDescent="0.2">
      <c r="A415" s="48" t="str">
        <f t="shared" si="146"/>
        <v/>
      </c>
      <c r="B415" s="9"/>
      <c r="C415" s="1"/>
      <c r="D415" s="1"/>
    </row>
    <row r="416" spans="1:4" x14ac:dyDescent="0.2">
      <c r="A416" s="48" t="str">
        <f t="shared" si="146"/>
        <v/>
      </c>
      <c r="B416" s="9"/>
      <c r="C416" s="1"/>
      <c r="D416" s="1"/>
    </row>
    <row r="417" spans="1:4" x14ac:dyDescent="0.2">
      <c r="A417" s="48" t="str">
        <f t="shared" si="146"/>
        <v/>
      </c>
      <c r="B417" s="9"/>
      <c r="C417" s="1"/>
      <c r="D417" s="1"/>
    </row>
    <row r="418" spans="1:4" x14ac:dyDescent="0.2">
      <c r="A418" s="48" t="str">
        <f t="shared" si="146"/>
        <v/>
      </c>
      <c r="B418" s="9"/>
      <c r="C418" s="1"/>
      <c r="D418" s="1"/>
    </row>
    <row r="419" spans="1:4" x14ac:dyDescent="0.2">
      <c r="A419" s="48" t="str">
        <f t="shared" si="146"/>
        <v/>
      </c>
      <c r="B419" s="9"/>
      <c r="C419" s="1"/>
      <c r="D419" s="1"/>
    </row>
    <row r="420" spans="1:4" x14ac:dyDescent="0.2">
      <c r="A420" s="48" t="str">
        <f t="shared" si="146"/>
        <v/>
      </c>
      <c r="B420" s="9"/>
      <c r="C420" s="1"/>
      <c r="D420" s="1"/>
    </row>
    <row r="421" spans="1:4" x14ac:dyDescent="0.2">
      <c r="A421" s="48" t="str">
        <f t="shared" si="146"/>
        <v/>
      </c>
      <c r="B421" s="9"/>
      <c r="C421" s="1"/>
      <c r="D421" s="1"/>
    </row>
    <row r="422" spans="1:4" x14ac:dyDescent="0.2">
      <c r="A422" s="48" t="str">
        <f t="shared" si="146"/>
        <v/>
      </c>
      <c r="B422" s="9"/>
      <c r="C422" s="1"/>
      <c r="D422" s="1"/>
    </row>
    <row r="423" spans="1:4" x14ac:dyDescent="0.2">
      <c r="A423" s="48" t="str">
        <f t="shared" si="146"/>
        <v/>
      </c>
      <c r="B423" s="9"/>
      <c r="C423" s="1"/>
      <c r="D423" s="1"/>
    </row>
    <row r="424" spans="1:4" x14ac:dyDescent="0.2">
      <c r="A424" s="48" t="str">
        <f t="shared" si="146"/>
        <v/>
      </c>
      <c r="B424" s="9"/>
      <c r="C424" s="1"/>
      <c r="D424" s="1"/>
    </row>
    <row r="425" spans="1:4" x14ac:dyDescent="0.2">
      <c r="A425" s="48" t="str">
        <f t="shared" si="146"/>
        <v/>
      </c>
      <c r="B425" s="9"/>
      <c r="C425" s="1"/>
      <c r="D425" s="1"/>
    </row>
    <row r="426" spans="1:4" x14ac:dyDescent="0.2">
      <c r="A426" s="48" t="str">
        <f t="shared" si="146"/>
        <v/>
      </c>
      <c r="B426" s="9"/>
      <c r="C426" s="1"/>
      <c r="D426" s="1"/>
    </row>
    <row r="427" spans="1:4" x14ac:dyDescent="0.2">
      <c r="A427" s="48" t="str">
        <f t="shared" si="146"/>
        <v/>
      </c>
      <c r="B427" s="9"/>
      <c r="C427" s="1"/>
      <c r="D427" s="1"/>
    </row>
    <row r="428" spans="1:4" x14ac:dyDescent="0.2">
      <c r="A428" s="48" t="str">
        <f t="shared" si="146"/>
        <v/>
      </c>
      <c r="B428" s="9"/>
      <c r="C428" s="1"/>
      <c r="D428" s="1"/>
    </row>
    <row r="429" spans="1:4" x14ac:dyDescent="0.2">
      <c r="A429" s="48" t="str">
        <f t="shared" si="146"/>
        <v/>
      </c>
      <c r="B429" s="9"/>
      <c r="C429" s="1"/>
      <c r="D429" s="1"/>
    </row>
    <row r="430" spans="1:4" x14ac:dyDescent="0.2">
      <c r="A430" s="48" t="str">
        <f t="shared" si="146"/>
        <v/>
      </c>
      <c r="B430" s="9"/>
      <c r="C430" s="1"/>
      <c r="D430" s="1"/>
    </row>
    <row r="431" spans="1:4" x14ac:dyDescent="0.2">
      <c r="A431" s="48" t="str">
        <f t="shared" si="146"/>
        <v/>
      </c>
      <c r="B431" s="9"/>
      <c r="C431" s="1"/>
      <c r="D431" s="1"/>
    </row>
    <row r="432" spans="1:4" x14ac:dyDescent="0.2">
      <c r="A432" s="15" t="str">
        <f t="shared" si="146"/>
        <v/>
      </c>
      <c r="B432" s="9"/>
      <c r="C432" s="1"/>
      <c r="D432" s="1"/>
    </row>
    <row r="433" spans="1:4" x14ac:dyDescent="0.2">
      <c r="A433" s="15" t="str">
        <f t="shared" si="146"/>
        <v/>
      </c>
      <c r="B433" s="9"/>
      <c r="C433" s="1"/>
      <c r="D433" s="1"/>
    </row>
    <row r="434" spans="1:4" x14ac:dyDescent="0.2">
      <c r="A434" s="15" t="str">
        <f t="shared" si="146"/>
        <v/>
      </c>
      <c r="B434" s="9"/>
      <c r="C434" s="1"/>
      <c r="D434" s="1"/>
    </row>
    <row r="435" spans="1:4" x14ac:dyDescent="0.2">
      <c r="A435" s="15" t="str">
        <f t="shared" si="146"/>
        <v/>
      </c>
      <c r="B435" s="9"/>
      <c r="C435" s="1"/>
      <c r="D435" s="1"/>
    </row>
    <row r="436" spans="1:4" x14ac:dyDescent="0.2">
      <c r="A436" s="15" t="str">
        <f t="shared" si="146"/>
        <v/>
      </c>
      <c r="B436" s="9"/>
      <c r="C436" s="1"/>
      <c r="D436" s="1"/>
    </row>
    <row r="437" spans="1:4" x14ac:dyDescent="0.2">
      <c r="A437" s="15" t="str">
        <f t="shared" si="146"/>
        <v/>
      </c>
      <c r="B437" s="9"/>
      <c r="C437" s="1"/>
      <c r="D437" s="1"/>
    </row>
    <row r="438" spans="1:4" x14ac:dyDescent="0.2">
      <c r="A438" s="15" t="str">
        <f t="shared" si="146"/>
        <v/>
      </c>
      <c r="B438" s="9"/>
      <c r="C438" s="1"/>
      <c r="D438" s="1"/>
    </row>
    <row r="439" spans="1:4" x14ac:dyDescent="0.2">
      <c r="A439" s="15" t="str">
        <f t="shared" si="146"/>
        <v/>
      </c>
      <c r="B439" s="9"/>
      <c r="C439" s="1"/>
      <c r="D439" s="1"/>
    </row>
    <row r="440" spans="1:4" x14ac:dyDescent="0.2">
      <c r="A440" s="15" t="str">
        <f t="shared" si="146"/>
        <v/>
      </c>
      <c r="B440" s="9"/>
      <c r="C440" s="1"/>
      <c r="D440" s="1"/>
    </row>
    <row r="441" spans="1:4" x14ac:dyDescent="0.2">
      <c r="A441" s="15" t="str">
        <f t="shared" si="146"/>
        <v/>
      </c>
      <c r="B441" s="9"/>
      <c r="C441" s="1"/>
      <c r="D441" s="1"/>
    </row>
    <row r="442" spans="1:4" x14ac:dyDescent="0.2">
      <c r="A442" s="15" t="str">
        <f t="shared" si="146"/>
        <v/>
      </c>
      <c r="B442" s="9"/>
      <c r="C442" s="1"/>
      <c r="D442" s="1"/>
    </row>
    <row r="443" spans="1:4" x14ac:dyDescent="0.2">
      <c r="A443" s="15" t="str">
        <f t="shared" si="146"/>
        <v/>
      </c>
      <c r="B443" s="9"/>
      <c r="C443" s="1"/>
      <c r="D443" s="1"/>
    </row>
    <row r="444" spans="1:4" x14ac:dyDescent="0.2">
      <c r="A444" s="15" t="str">
        <f t="shared" si="146"/>
        <v/>
      </c>
      <c r="B444" s="9"/>
      <c r="C444" s="1"/>
      <c r="D444" s="1"/>
    </row>
    <row r="445" spans="1:4" x14ac:dyDescent="0.2">
      <c r="A445" s="15" t="str">
        <f t="shared" si="146"/>
        <v/>
      </c>
      <c r="B445" s="9"/>
      <c r="C445" s="1"/>
      <c r="D445" s="1"/>
    </row>
    <row r="446" spans="1:4" x14ac:dyDescent="0.2">
      <c r="A446" s="15" t="str">
        <f t="shared" si="146"/>
        <v/>
      </c>
      <c r="B446" s="9"/>
      <c r="C446" s="1"/>
      <c r="D446" s="1"/>
    </row>
    <row r="447" spans="1:4" x14ac:dyDescent="0.2">
      <c r="A447" s="15" t="str">
        <f t="shared" si="146"/>
        <v/>
      </c>
      <c r="B447" s="9"/>
      <c r="C447" s="1"/>
      <c r="D447" s="1"/>
    </row>
    <row r="448" spans="1:4" x14ac:dyDescent="0.2">
      <c r="A448" s="15" t="str">
        <f t="shared" si="146"/>
        <v/>
      </c>
      <c r="B448" s="9"/>
      <c r="C448" s="1"/>
      <c r="D448" s="1"/>
    </row>
    <row r="449" spans="1:4" x14ac:dyDescent="0.2">
      <c r="A449" s="15" t="str">
        <f t="shared" si="146"/>
        <v/>
      </c>
      <c r="B449" s="9"/>
      <c r="C449" s="1"/>
      <c r="D449" s="1"/>
    </row>
    <row r="450" spans="1:4" x14ac:dyDescent="0.2">
      <c r="A450" s="15" t="str">
        <f t="shared" si="146"/>
        <v/>
      </c>
      <c r="B450" s="9"/>
      <c r="C450" s="1"/>
      <c r="D450" s="1"/>
    </row>
    <row r="451" spans="1:4" x14ac:dyDescent="0.2">
      <c r="A451" s="15" t="str">
        <f t="shared" si="146"/>
        <v/>
      </c>
      <c r="B451" s="9"/>
      <c r="C451" s="1"/>
      <c r="D451" s="1"/>
    </row>
    <row r="452" spans="1:4" x14ac:dyDescent="0.2">
      <c r="A452" s="15" t="str">
        <f t="shared" si="146"/>
        <v/>
      </c>
      <c r="B452" s="9"/>
      <c r="C452" s="1"/>
      <c r="D452" s="1"/>
    </row>
    <row r="453" spans="1:4" x14ac:dyDescent="0.2">
      <c r="A453" s="15" t="str">
        <f t="shared" si="146"/>
        <v/>
      </c>
      <c r="B453" s="9"/>
      <c r="C453" s="1"/>
      <c r="D453" s="1"/>
    </row>
    <row r="454" spans="1:4" x14ac:dyDescent="0.2">
      <c r="A454" s="15" t="str">
        <f t="shared" si="146"/>
        <v/>
      </c>
      <c r="B454" s="9"/>
      <c r="C454" s="1"/>
      <c r="D454" s="1"/>
    </row>
    <row r="455" spans="1:4" x14ac:dyDescent="0.2">
      <c r="A455" s="15" t="str">
        <f t="shared" si="146"/>
        <v/>
      </c>
      <c r="B455" s="9"/>
      <c r="C455" s="1"/>
      <c r="D455" s="1"/>
    </row>
    <row r="456" spans="1:4" x14ac:dyDescent="0.2">
      <c r="A456" s="15" t="str">
        <f t="shared" si="146"/>
        <v/>
      </c>
      <c r="B456" s="9"/>
      <c r="C456" s="1"/>
      <c r="D456" s="1"/>
    </row>
    <row r="457" spans="1:4" x14ac:dyDescent="0.2">
      <c r="A457" s="15" t="str">
        <f t="shared" si="146"/>
        <v/>
      </c>
      <c r="B457" s="9"/>
      <c r="C457" s="1"/>
      <c r="D457" s="1"/>
    </row>
    <row r="458" spans="1:4" x14ac:dyDescent="0.2">
      <c r="A458" s="15" t="str">
        <f t="shared" si="146"/>
        <v/>
      </c>
      <c r="B458" s="9"/>
      <c r="C458" s="1"/>
      <c r="D458" s="1"/>
    </row>
    <row r="459" spans="1:4" x14ac:dyDescent="0.2">
      <c r="A459" s="15" t="str">
        <f t="shared" si="146"/>
        <v/>
      </c>
      <c r="B459" s="9"/>
      <c r="C459" s="1"/>
      <c r="D459" s="1"/>
    </row>
    <row r="460" spans="1:4" x14ac:dyDescent="0.2">
      <c r="A460" s="15" t="str">
        <f t="shared" si="146"/>
        <v/>
      </c>
      <c r="B460" s="9"/>
      <c r="C460" s="1"/>
      <c r="D460" s="1"/>
    </row>
    <row r="461" spans="1:4" x14ac:dyDescent="0.2">
      <c r="A461" s="15" t="str">
        <f>IF(B461="","",IF(AND(B461&lt;&gt;"",B462=""),"Proj.",A460+1))</f>
        <v/>
      </c>
      <c r="B461" s="9"/>
      <c r="C461" s="1"/>
      <c r="D461" s="1"/>
    </row>
    <row r="462" spans="1:4" x14ac:dyDescent="0.2">
      <c r="A462" s="15" t="str">
        <f>IF(B462="","",IF(AND(B462&lt;&gt;"",B463=""),"Proj.",A461+1))</f>
        <v/>
      </c>
      <c r="B462" s="9"/>
      <c r="C462" s="1"/>
      <c r="D462" s="1"/>
    </row>
    <row r="463" spans="1:4" x14ac:dyDescent="0.2">
      <c r="A463" s="15" t="str">
        <f>IF(B463="","",IF(AND(B463&lt;&gt;"",B464=""),"Proj.",A462+1))</f>
        <v/>
      </c>
      <c r="B463" s="9"/>
      <c r="C463" s="1"/>
      <c r="D463" s="1"/>
    </row>
    <row r="464" spans="1:4" x14ac:dyDescent="0.2">
      <c r="A464" s="15" t="str">
        <f>IF(B464="","",IF(AND(B464&lt;&gt;"",B465=""),"Proj.",A463+1))</f>
        <v/>
      </c>
      <c r="B464" s="9"/>
      <c r="C464" s="1"/>
      <c r="D464" s="1"/>
    </row>
    <row r="465" spans="1:4" x14ac:dyDescent="0.2">
      <c r="A465" s="15" t="str">
        <f>IF(B465="","",IF(AND(B465&lt;&gt;"",B466=""),"Proj.",A464+1))</f>
        <v/>
      </c>
      <c r="B465" s="9"/>
      <c r="C465" s="1"/>
      <c r="D465" s="1"/>
    </row>
    <row r="466" spans="1:4" x14ac:dyDescent="0.2">
      <c r="B466" s="9"/>
      <c r="C466" s="1"/>
      <c r="D466" s="1"/>
    </row>
    <row r="467" spans="1:4" x14ac:dyDescent="0.2">
      <c r="B467" s="9"/>
      <c r="C467" s="1"/>
      <c r="D467" s="1"/>
    </row>
    <row r="468" spans="1:4" x14ac:dyDescent="0.2">
      <c r="B468" s="9"/>
      <c r="C468" s="1"/>
      <c r="D468" s="1"/>
    </row>
    <row r="469" spans="1:4" x14ac:dyDescent="0.2">
      <c r="B469" s="9"/>
      <c r="C469" s="1"/>
      <c r="D469" s="1"/>
    </row>
    <row r="470" spans="1:4" x14ac:dyDescent="0.2">
      <c r="B470" s="9"/>
      <c r="C470" s="1"/>
      <c r="D470" s="1"/>
    </row>
    <row r="471" spans="1:4" x14ac:dyDescent="0.2">
      <c r="B471" s="9"/>
      <c r="C471" s="1"/>
      <c r="D471" s="1"/>
    </row>
    <row r="472" spans="1:4" x14ac:dyDescent="0.2">
      <c r="B472" s="9"/>
      <c r="C472" s="1"/>
      <c r="D472" s="1"/>
    </row>
    <row r="473" spans="1:4" x14ac:dyDescent="0.2">
      <c r="B473" s="9"/>
      <c r="C473" s="1"/>
      <c r="D473" s="1"/>
    </row>
    <row r="474" spans="1:4" x14ac:dyDescent="0.2">
      <c r="B474" s="9"/>
      <c r="C474" s="1"/>
      <c r="D474" s="1"/>
    </row>
    <row r="475" spans="1:4" x14ac:dyDescent="0.2">
      <c r="B475" s="9"/>
      <c r="C475" s="1"/>
      <c r="D475" s="1"/>
    </row>
    <row r="476" spans="1:4" x14ac:dyDescent="0.2">
      <c r="B476" s="9"/>
      <c r="C476" s="1"/>
      <c r="D476" s="1"/>
    </row>
    <row r="477" spans="1:4" x14ac:dyDescent="0.2">
      <c r="B477" s="9"/>
      <c r="C477" s="1"/>
      <c r="D477" s="1"/>
    </row>
    <row r="478" spans="1:4" x14ac:dyDescent="0.2">
      <c r="B478" s="9"/>
      <c r="C478" s="1"/>
      <c r="D478" s="1"/>
    </row>
    <row r="479" spans="1:4" x14ac:dyDescent="0.2">
      <c r="B479" s="9"/>
      <c r="C479" s="1"/>
      <c r="D479" s="1"/>
    </row>
    <row r="480" spans="1:4" x14ac:dyDescent="0.2">
      <c r="B480" s="9"/>
      <c r="C480" s="1"/>
      <c r="D480" s="1"/>
    </row>
    <row r="481" spans="2:4" x14ac:dyDescent="0.2">
      <c r="B481" s="9"/>
      <c r="C481" s="1"/>
      <c r="D481" s="1"/>
    </row>
    <row r="482" spans="2:4" x14ac:dyDescent="0.2">
      <c r="B482" s="9"/>
      <c r="C482" s="1"/>
      <c r="D482" s="1"/>
    </row>
    <row r="483" spans="2:4" x14ac:dyDescent="0.2">
      <c r="B483" s="9"/>
      <c r="C483" s="1"/>
      <c r="D483" s="1"/>
    </row>
    <row r="484" spans="2:4" x14ac:dyDescent="0.2">
      <c r="B484" s="9"/>
      <c r="C484" s="1"/>
      <c r="D484" s="1"/>
    </row>
    <row r="485" spans="2:4" x14ac:dyDescent="0.2">
      <c r="B485" s="9"/>
      <c r="C485" s="1"/>
      <c r="D485" s="1"/>
    </row>
    <row r="486" spans="2:4" x14ac:dyDescent="0.2">
      <c r="B486" s="9"/>
      <c r="C486" s="1"/>
      <c r="D486" s="1"/>
    </row>
    <row r="487" spans="2:4" x14ac:dyDescent="0.2">
      <c r="B487" s="9"/>
      <c r="C487" s="1"/>
      <c r="D487" s="1"/>
    </row>
    <row r="488" spans="2:4" x14ac:dyDescent="0.2">
      <c r="B488" s="9"/>
      <c r="C488" s="1"/>
      <c r="D488" s="1"/>
    </row>
    <row r="489" spans="2:4" x14ac:dyDescent="0.2">
      <c r="B489" s="9"/>
      <c r="C489" s="1"/>
      <c r="D489" s="1"/>
    </row>
    <row r="490" spans="2:4" x14ac:dyDescent="0.2">
      <c r="B490" s="9"/>
      <c r="C490" s="1"/>
      <c r="D490" s="1"/>
    </row>
    <row r="491" spans="2:4" x14ac:dyDescent="0.2">
      <c r="B491" s="9"/>
      <c r="C491" s="1"/>
      <c r="D491" s="1"/>
    </row>
    <row r="492" spans="2:4" x14ac:dyDescent="0.2">
      <c r="B492" s="9"/>
      <c r="C492" s="1"/>
      <c r="D492" s="1"/>
    </row>
    <row r="493" spans="2:4" x14ac:dyDescent="0.2">
      <c r="B493" s="9"/>
      <c r="C493" s="1"/>
      <c r="D493" s="1"/>
    </row>
    <row r="494" spans="2:4" x14ac:dyDescent="0.2">
      <c r="B494" s="9"/>
      <c r="C494" s="1"/>
      <c r="D494" s="1"/>
    </row>
    <row r="495" spans="2:4" x14ac:dyDescent="0.2">
      <c r="B495" s="9"/>
      <c r="C495" s="1"/>
      <c r="D495" s="1"/>
    </row>
    <row r="496" spans="2:4" x14ac:dyDescent="0.2">
      <c r="B496" s="9"/>
      <c r="C496" s="1"/>
      <c r="D496" s="1"/>
    </row>
    <row r="497" spans="2:4" x14ac:dyDescent="0.2">
      <c r="B497" s="9"/>
      <c r="C497" s="1"/>
      <c r="D497" s="1"/>
    </row>
    <row r="498" spans="2:4" x14ac:dyDescent="0.2">
      <c r="B498" s="9"/>
      <c r="C498" s="1"/>
      <c r="D498" s="1"/>
    </row>
    <row r="499" spans="2:4" x14ac:dyDescent="0.2">
      <c r="B499" s="9"/>
      <c r="C499" s="1"/>
      <c r="D499" s="1"/>
    </row>
    <row r="500" spans="2:4" x14ac:dyDescent="0.2">
      <c r="B500" s="9"/>
      <c r="C500" s="1"/>
      <c r="D500" s="1"/>
    </row>
    <row r="501" spans="2:4" x14ac:dyDescent="0.2">
      <c r="B501" s="9"/>
      <c r="C501" s="1"/>
      <c r="D501" s="1"/>
    </row>
    <row r="502" spans="2:4" x14ac:dyDescent="0.2">
      <c r="B502" s="9"/>
      <c r="C502" s="1"/>
      <c r="D502" s="1"/>
    </row>
    <row r="503" spans="2:4" x14ac:dyDescent="0.2">
      <c r="B503" s="9"/>
      <c r="C503" s="1"/>
      <c r="D503" s="1"/>
    </row>
    <row r="504" spans="2:4" x14ac:dyDescent="0.2">
      <c r="B504" s="9"/>
      <c r="C504" s="1"/>
      <c r="D504" s="1"/>
    </row>
    <row r="505" spans="2:4" x14ac:dyDescent="0.2">
      <c r="B505" s="9"/>
      <c r="C505" s="1"/>
      <c r="D505" s="1"/>
    </row>
    <row r="506" spans="2:4" x14ac:dyDescent="0.2">
      <c r="B506" s="9"/>
      <c r="C506" s="1"/>
      <c r="D506" s="1"/>
    </row>
    <row r="507" spans="2:4" x14ac:dyDescent="0.2">
      <c r="B507" s="9"/>
      <c r="C507" s="1"/>
      <c r="D507" s="1"/>
    </row>
    <row r="508" spans="2:4" x14ac:dyDescent="0.2">
      <c r="B508" s="9"/>
      <c r="C508" s="1"/>
      <c r="D508" s="1"/>
    </row>
    <row r="509" spans="2:4" x14ac:dyDescent="0.2">
      <c r="B509" s="9"/>
      <c r="C509" s="1"/>
      <c r="D509" s="1"/>
    </row>
    <row r="510" spans="2:4" x14ac:dyDescent="0.2">
      <c r="B510" s="9"/>
      <c r="C510" s="1"/>
      <c r="D510" s="1"/>
    </row>
    <row r="511" spans="2:4" x14ac:dyDescent="0.2">
      <c r="B511" s="9"/>
      <c r="C511" s="1"/>
      <c r="D511" s="1"/>
    </row>
    <row r="512" spans="2:4" x14ac:dyDescent="0.2">
      <c r="B512" s="9"/>
      <c r="C512" s="1"/>
      <c r="D512" s="1"/>
    </row>
    <row r="513" spans="2:4" x14ac:dyDescent="0.2">
      <c r="B513" s="9"/>
      <c r="C513" s="1"/>
      <c r="D513" s="1"/>
    </row>
    <row r="514" spans="2:4" x14ac:dyDescent="0.2">
      <c r="B514" s="9"/>
      <c r="C514" s="1"/>
      <c r="D514" s="1"/>
    </row>
    <row r="515" spans="2:4" x14ac:dyDescent="0.2">
      <c r="B515" s="9"/>
      <c r="C515" s="1"/>
      <c r="D515" s="1"/>
    </row>
    <row r="516" spans="2:4" x14ac:dyDescent="0.2">
      <c r="B516" s="9"/>
      <c r="C516" s="1"/>
      <c r="D516" s="1"/>
    </row>
    <row r="517" spans="2:4" x14ac:dyDescent="0.2">
      <c r="B517" s="9"/>
      <c r="C517" s="1"/>
      <c r="D517" s="1"/>
    </row>
    <row r="518" spans="2:4" x14ac:dyDescent="0.2">
      <c r="B518" s="9"/>
      <c r="C518" s="1"/>
      <c r="D518" s="1"/>
    </row>
    <row r="519" spans="2:4" x14ac:dyDescent="0.2">
      <c r="B519" s="9"/>
      <c r="C519" s="1"/>
      <c r="D519" s="1"/>
    </row>
    <row r="520" spans="2:4" x14ac:dyDescent="0.2">
      <c r="B520" s="9"/>
      <c r="C520" s="1"/>
      <c r="D520" s="1"/>
    </row>
    <row r="521" spans="2:4" x14ac:dyDescent="0.2">
      <c r="B521" s="9"/>
      <c r="C521" s="1"/>
      <c r="D521" s="1"/>
    </row>
    <row r="522" spans="2:4" x14ac:dyDescent="0.2">
      <c r="B522" s="9"/>
      <c r="C522" s="1"/>
      <c r="D522" s="1"/>
    </row>
    <row r="523" spans="2:4" x14ac:dyDescent="0.2">
      <c r="B523" s="9"/>
      <c r="C523" s="1"/>
      <c r="D523" s="1"/>
    </row>
    <row r="524" spans="2:4" x14ac:dyDescent="0.2">
      <c r="B524" s="9"/>
      <c r="C524" s="1"/>
      <c r="D524" s="1"/>
    </row>
    <row r="525" spans="2:4" x14ac:dyDescent="0.2">
      <c r="B525" s="9"/>
      <c r="C525" s="1"/>
      <c r="D525" s="1"/>
    </row>
    <row r="526" spans="2:4" x14ac:dyDescent="0.2">
      <c r="B526" s="9"/>
      <c r="C526" s="1"/>
      <c r="D526" s="1"/>
    </row>
    <row r="527" spans="2:4" x14ac:dyDescent="0.2">
      <c r="B527" s="9"/>
      <c r="C527" s="1"/>
      <c r="D527" s="1"/>
    </row>
    <row r="528" spans="2:4" x14ac:dyDescent="0.2">
      <c r="B528" s="9"/>
      <c r="C528" s="1"/>
      <c r="D528" s="1"/>
    </row>
    <row r="529" spans="2:4" x14ac:dyDescent="0.2">
      <c r="B529" s="9"/>
      <c r="C529" s="1"/>
      <c r="D529" s="1"/>
    </row>
    <row r="530" spans="2:4" x14ac:dyDescent="0.2">
      <c r="B530" s="9"/>
      <c r="C530" s="1"/>
      <c r="D530" s="1"/>
    </row>
    <row r="531" spans="2:4" x14ac:dyDescent="0.2">
      <c r="B531" s="9"/>
      <c r="C531" s="1"/>
      <c r="D531" s="1"/>
    </row>
    <row r="532" spans="2:4" x14ac:dyDescent="0.2">
      <c r="B532" s="9"/>
      <c r="C532" s="1"/>
      <c r="D532" s="1"/>
    </row>
    <row r="533" spans="2:4" x14ac:dyDescent="0.2">
      <c r="B533" s="9"/>
      <c r="C533" s="1"/>
      <c r="D533" s="1"/>
    </row>
    <row r="534" spans="2:4" x14ac:dyDescent="0.2">
      <c r="B534" s="9"/>
      <c r="C534" s="1"/>
      <c r="D534" s="1"/>
    </row>
    <row r="535" spans="2:4" x14ac:dyDescent="0.2">
      <c r="B535" s="9"/>
      <c r="C535" s="1"/>
      <c r="D535" s="1"/>
    </row>
    <row r="536" spans="2:4" x14ac:dyDescent="0.2">
      <c r="B536" s="9"/>
      <c r="C536" s="1"/>
      <c r="D536" s="1"/>
    </row>
    <row r="537" spans="2:4" x14ac:dyDescent="0.2">
      <c r="B537" s="9"/>
      <c r="C537" s="1"/>
      <c r="D537" s="1"/>
    </row>
    <row r="538" spans="2:4" x14ac:dyDescent="0.2">
      <c r="B538" s="9"/>
      <c r="C538" s="1"/>
      <c r="D538" s="1"/>
    </row>
    <row r="539" spans="2:4" x14ac:dyDescent="0.2">
      <c r="B539" s="9"/>
      <c r="C539" s="1"/>
      <c r="D539" s="1"/>
    </row>
    <row r="540" spans="2:4" x14ac:dyDescent="0.2">
      <c r="B540" s="9"/>
      <c r="C540" s="1"/>
      <c r="D540" s="1"/>
    </row>
    <row r="541" spans="2:4" x14ac:dyDescent="0.2">
      <c r="B541" s="9"/>
      <c r="C541" s="1"/>
      <c r="D541" s="1"/>
    </row>
    <row r="542" spans="2:4" x14ac:dyDescent="0.2">
      <c r="B542" s="9"/>
      <c r="C542" s="1"/>
      <c r="D542" s="1"/>
    </row>
    <row r="543" spans="2:4" x14ac:dyDescent="0.2">
      <c r="B543" s="9"/>
      <c r="C543" s="1"/>
      <c r="D543" s="1"/>
    </row>
    <row r="544" spans="2:4" x14ac:dyDescent="0.2">
      <c r="B544" s="9"/>
      <c r="C544" s="1"/>
      <c r="D544" s="1"/>
    </row>
    <row r="545" spans="2:4" x14ac:dyDescent="0.2">
      <c r="B545" s="9"/>
      <c r="C545" s="1"/>
      <c r="D545" s="1"/>
    </row>
    <row r="546" spans="2:4" x14ac:dyDescent="0.2">
      <c r="B546" s="9"/>
      <c r="C546" s="1"/>
      <c r="D546" s="1"/>
    </row>
    <row r="547" spans="2:4" x14ac:dyDescent="0.2">
      <c r="B547" s="9"/>
      <c r="C547" s="1"/>
      <c r="D547" s="1"/>
    </row>
    <row r="548" spans="2:4" x14ac:dyDescent="0.2">
      <c r="B548" s="9"/>
      <c r="C548" s="1"/>
      <c r="D548" s="1"/>
    </row>
    <row r="549" spans="2:4" x14ac:dyDescent="0.2">
      <c r="B549" s="9"/>
      <c r="C549" s="1"/>
      <c r="D549" s="1"/>
    </row>
    <row r="550" spans="2:4" x14ac:dyDescent="0.2">
      <c r="B550" s="9"/>
      <c r="C550" s="1"/>
      <c r="D550" s="1"/>
    </row>
    <row r="551" spans="2:4" x14ac:dyDescent="0.2">
      <c r="B551" s="9"/>
      <c r="C551" s="1"/>
      <c r="D551" s="1"/>
    </row>
    <row r="552" spans="2:4" x14ac:dyDescent="0.2">
      <c r="B552" s="9"/>
      <c r="C552" s="1"/>
      <c r="D552" s="1"/>
    </row>
    <row r="553" spans="2:4" x14ac:dyDescent="0.2">
      <c r="B553" s="9"/>
      <c r="C553" s="1"/>
      <c r="D553" s="1"/>
    </row>
    <row r="554" spans="2:4" x14ac:dyDescent="0.2">
      <c r="B554" s="9"/>
      <c r="C554" s="1"/>
      <c r="D554" s="1"/>
    </row>
    <row r="555" spans="2:4" x14ac:dyDescent="0.2">
      <c r="B555" s="9"/>
      <c r="C555" s="1"/>
      <c r="D555" s="1"/>
    </row>
    <row r="556" spans="2:4" x14ac:dyDescent="0.2">
      <c r="B556" s="9"/>
      <c r="C556" s="1"/>
      <c r="D556" s="1"/>
    </row>
    <row r="557" spans="2:4" x14ac:dyDescent="0.2">
      <c r="B557" s="9"/>
      <c r="C557" s="1"/>
      <c r="D557" s="1"/>
    </row>
    <row r="558" spans="2:4" x14ac:dyDescent="0.2">
      <c r="B558" s="9"/>
      <c r="C558" s="1"/>
      <c r="D558" s="1"/>
    </row>
    <row r="559" spans="2:4" x14ac:dyDescent="0.2">
      <c r="B559" s="9"/>
      <c r="C559" s="1"/>
      <c r="D559" s="1"/>
    </row>
    <row r="560" spans="2:4" x14ac:dyDescent="0.2">
      <c r="B560" s="9"/>
      <c r="C560" s="1"/>
      <c r="D560" s="1"/>
    </row>
    <row r="561" spans="2:4" x14ac:dyDescent="0.2">
      <c r="B561" s="9"/>
      <c r="C561" s="1"/>
      <c r="D561" s="1"/>
    </row>
    <row r="562" spans="2:4" x14ac:dyDescent="0.2">
      <c r="B562" s="9"/>
      <c r="C562" s="1"/>
      <c r="D562" s="1"/>
    </row>
    <row r="563" spans="2:4" x14ac:dyDescent="0.2">
      <c r="B563" s="9"/>
      <c r="C563" s="1"/>
      <c r="D563" s="1"/>
    </row>
    <row r="564" spans="2:4" x14ac:dyDescent="0.2">
      <c r="B564" s="9"/>
      <c r="C564" s="1"/>
      <c r="D564" s="1"/>
    </row>
    <row r="565" spans="2:4" x14ac:dyDescent="0.2">
      <c r="B565" s="9"/>
      <c r="C565" s="1"/>
      <c r="D565" s="1"/>
    </row>
    <row r="566" spans="2:4" x14ac:dyDescent="0.2">
      <c r="B566" s="9"/>
      <c r="C566" s="1"/>
      <c r="D566" s="1"/>
    </row>
    <row r="567" spans="2:4" x14ac:dyDescent="0.2">
      <c r="B567" s="9"/>
      <c r="C567" s="1"/>
      <c r="D567" s="1"/>
    </row>
    <row r="568" spans="2:4" x14ac:dyDescent="0.2">
      <c r="B568" s="9"/>
      <c r="C568" s="1"/>
      <c r="D568" s="1"/>
    </row>
    <row r="569" spans="2:4" x14ac:dyDescent="0.2">
      <c r="B569" s="9"/>
      <c r="C569" s="1"/>
      <c r="D569" s="1"/>
    </row>
    <row r="570" spans="2:4" x14ac:dyDescent="0.2">
      <c r="B570" s="9"/>
      <c r="C570" s="1"/>
      <c r="D570" s="1"/>
    </row>
    <row r="571" spans="2:4" x14ac:dyDescent="0.2">
      <c r="B571" s="9"/>
      <c r="C571" s="1"/>
      <c r="D571" s="1"/>
    </row>
    <row r="572" spans="2:4" x14ac:dyDescent="0.2">
      <c r="B572" s="9"/>
      <c r="C572" s="1"/>
      <c r="D572" s="1"/>
    </row>
    <row r="573" spans="2:4" x14ac:dyDescent="0.2">
      <c r="B573" s="9"/>
      <c r="C573" s="1"/>
      <c r="D573" s="1"/>
    </row>
    <row r="574" spans="2:4" x14ac:dyDescent="0.2">
      <c r="B574" s="9"/>
      <c r="C574" s="1"/>
      <c r="D574" s="1"/>
    </row>
    <row r="575" spans="2:4" x14ac:dyDescent="0.2">
      <c r="B575" s="9"/>
      <c r="C575" s="1"/>
      <c r="D575" s="1"/>
    </row>
    <row r="576" spans="2:4" x14ac:dyDescent="0.2">
      <c r="B576" s="9"/>
      <c r="C576" s="1"/>
      <c r="D576" s="1"/>
    </row>
    <row r="577" spans="2:4" x14ac:dyDescent="0.2">
      <c r="B577" s="9"/>
      <c r="C577" s="1"/>
      <c r="D577" s="1"/>
    </row>
    <row r="578" spans="2:4" x14ac:dyDescent="0.2">
      <c r="B578" s="9"/>
      <c r="C578" s="1"/>
      <c r="D578" s="1"/>
    </row>
    <row r="579" spans="2:4" x14ac:dyDescent="0.2">
      <c r="B579" s="9"/>
      <c r="C579" s="1"/>
      <c r="D579" s="1"/>
    </row>
    <row r="580" spans="2:4" x14ac:dyDescent="0.2">
      <c r="B580" s="9"/>
      <c r="C580" s="1"/>
      <c r="D580" s="1"/>
    </row>
    <row r="581" spans="2:4" x14ac:dyDescent="0.2">
      <c r="B581" s="9"/>
      <c r="C581" s="1"/>
      <c r="D581" s="1"/>
    </row>
    <row r="582" spans="2:4" x14ac:dyDescent="0.2">
      <c r="B582" s="9"/>
      <c r="C582" s="1"/>
      <c r="D582" s="1"/>
    </row>
    <row r="583" spans="2:4" x14ac:dyDescent="0.2">
      <c r="B583" s="9"/>
      <c r="C583" s="1"/>
      <c r="D583" s="1"/>
    </row>
    <row r="584" spans="2:4" x14ac:dyDescent="0.2">
      <c r="B584" s="9"/>
      <c r="C584" s="1"/>
      <c r="D584" s="1"/>
    </row>
    <row r="585" spans="2:4" x14ac:dyDescent="0.2">
      <c r="B585" s="9"/>
      <c r="C585" s="1"/>
      <c r="D585" s="1"/>
    </row>
    <row r="586" spans="2:4" x14ac:dyDescent="0.2">
      <c r="B586" s="9"/>
      <c r="C586" s="1"/>
      <c r="D586" s="1"/>
    </row>
    <row r="587" spans="2:4" x14ac:dyDescent="0.2">
      <c r="B587" s="9"/>
      <c r="C587" s="1"/>
      <c r="D587" s="1"/>
    </row>
    <row r="588" spans="2:4" x14ac:dyDescent="0.2">
      <c r="B588" s="9"/>
      <c r="C588" s="1"/>
      <c r="D588" s="1"/>
    </row>
    <row r="589" spans="2:4" x14ac:dyDescent="0.2">
      <c r="B589" s="9"/>
      <c r="C589" s="1"/>
      <c r="D589" s="1"/>
    </row>
    <row r="590" spans="2:4" x14ac:dyDescent="0.2">
      <c r="B590" s="9"/>
      <c r="C590" s="1"/>
      <c r="D590" s="1"/>
    </row>
    <row r="591" spans="2:4" x14ac:dyDescent="0.2">
      <c r="B591" s="9"/>
      <c r="C591" s="1"/>
      <c r="D591" s="1"/>
    </row>
    <row r="592" spans="2:4" x14ac:dyDescent="0.2">
      <c r="B592" s="9"/>
      <c r="C592" s="1"/>
      <c r="D592" s="1"/>
    </row>
    <row r="593" spans="2:4" x14ac:dyDescent="0.2">
      <c r="B593" s="9"/>
      <c r="C593" s="1"/>
      <c r="D593" s="1"/>
    </row>
    <row r="594" spans="2:4" x14ac:dyDescent="0.2">
      <c r="B594" s="9"/>
      <c r="C594" s="1"/>
      <c r="D594" s="1"/>
    </row>
    <row r="595" spans="2:4" x14ac:dyDescent="0.2">
      <c r="B595" s="9"/>
      <c r="C595" s="1"/>
      <c r="D595" s="1"/>
    </row>
    <row r="596" spans="2:4" x14ac:dyDescent="0.2">
      <c r="B596" s="9"/>
      <c r="C596" s="1"/>
      <c r="D596" s="1"/>
    </row>
    <row r="597" spans="2:4" x14ac:dyDescent="0.2">
      <c r="B597" s="9"/>
      <c r="C597" s="1"/>
      <c r="D597" s="1"/>
    </row>
    <row r="598" spans="2:4" x14ac:dyDescent="0.2">
      <c r="B598" s="9"/>
      <c r="C598" s="1"/>
      <c r="D598" s="1"/>
    </row>
    <row r="599" spans="2:4" x14ac:dyDescent="0.2">
      <c r="B599" s="9"/>
      <c r="C599" s="1"/>
      <c r="D599" s="1"/>
    </row>
    <row r="600" spans="2:4" x14ac:dyDescent="0.2">
      <c r="B600" s="9"/>
      <c r="C600" s="1"/>
      <c r="D600" s="1"/>
    </row>
    <row r="601" spans="2:4" x14ac:dyDescent="0.2">
      <c r="B601" s="9"/>
      <c r="C601" s="1"/>
      <c r="D601" s="1"/>
    </row>
    <row r="602" spans="2:4" x14ac:dyDescent="0.2">
      <c r="B602" s="9"/>
      <c r="C602" s="1"/>
      <c r="D602" s="1"/>
    </row>
    <row r="603" spans="2:4" x14ac:dyDescent="0.2">
      <c r="B603" s="9"/>
      <c r="C603" s="1"/>
      <c r="D603" s="1"/>
    </row>
    <row r="604" spans="2:4" x14ac:dyDescent="0.2">
      <c r="B604" s="9"/>
      <c r="C604" s="1"/>
      <c r="D604" s="1"/>
    </row>
    <row r="605" spans="2:4" x14ac:dyDescent="0.2">
      <c r="B605" s="9"/>
      <c r="C605" s="1"/>
      <c r="D605" s="1"/>
    </row>
    <row r="606" spans="2:4" x14ac:dyDescent="0.2">
      <c r="B606" s="9"/>
      <c r="C606" s="1"/>
      <c r="D606" s="1"/>
    </row>
    <row r="607" spans="2:4" x14ac:dyDescent="0.2">
      <c r="B607" s="9"/>
      <c r="C607" s="1"/>
      <c r="D607" s="1"/>
    </row>
    <row r="608" spans="2:4" x14ac:dyDescent="0.2">
      <c r="B608" s="9"/>
      <c r="C608" s="1"/>
      <c r="D608" s="1"/>
    </row>
    <row r="609" spans="2:4" x14ac:dyDescent="0.2">
      <c r="B609" s="9"/>
      <c r="C609" s="1"/>
      <c r="D609" s="1"/>
    </row>
    <row r="610" spans="2:4" x14ac:dyDescent="0.2">
      <c r="B610" s="9"/>
      <c r="C610" s="1"/>
      <c r="D610" s="1"/>
    </row>
    <row r="611" spans="2:4" x14ac:dyDescent="0.2">
      <c r="B611" s="9"/>
      <c r="C611" s="1"/>
      <c r="D611" s="1"/>
    </row>
    <row r="612" spans="2:4" x14ac:dyDescent="0.2">
      <c r="B612" s="9"/>
      <c r="C612" s="1"/>
      <c r="D612" s="1"/>
    </row>
    <row r="613" spans="2:4" x14ac:dyDescent="0.2">
      <c r="B613" s="9"/>
      <c r="C613" s="1"/>
      <c r="D613" s="1"/>
    </row>
    <row r="614" spans="2:4" x14ac:dyDescent="0.2">
      <c r="B614" s="9"/>
      <c r="C614" s="1"/>
      <c r="D614" s="1"/>
    </row>
    <row r="615" spans="2:4" x14ac:dyDescent="0.2">
      <c r="B615" s="9"/>
      <c r="C615" s="1"/>
      <c r="D615" s="1"/>
    </row>
    <row r="616" spans="2:4" x14ac:dyDescent="0.2">
      <c r="B616" s="9"/>
      <c r="C616" s="1"/>
      <c r="D616" s="1"/>
    </row>
    <row r="617" spans="2:4" x14ac:dyDescent="0.2">
      <c r="B617" s="9"/>
      <c r="C617" s="1"/>
      <c r="D617" s="1"/>
    </row>
    <row r="618" spans="2:4" x14ac:dyDescent="0.2">
      <c r="B618" s="9"/>
      <c r="C618" s="1"/>
      <c r="D618" s="1"/>
    </row>
    <row r="619" spans="2:4" x14ac:dyDescent="0.2">
      <c r="B619" s="9"/>
      <c r="C619" s="1"/>
      <c r="D619" s="1"/>
    </row>
    <row r="620" spans="2:4" x14ac:dyDescent="0.2">
      <c r="B620" s="9"/>
      <c r="C620" s="1"/>
      <c r="D620" s="1"/>
    </row>
    <row r="621" spans="2:4" x14ac:dyDescent="0.2">
      <c r="B621" s="9"/>
      <c r="C621" s="1"/>
      <c r="D621" s="1"/>
    </row>
    <row r="622" spans="2:4" x14ac:dyDescent="0.2">
      <c r="B622" s="9"/>
      <c r="C622" s="1"/>
      <c r="D622" s="1"/>
    </row>
    <row r="623" spans="2:4" x14ac:dyDescent="0.2">
      <c r="B623" s="9"/>
      <c r="C623" s="1"/>
      <c r="D623" s="1"/>
    </row>
    <row r="624" spans="2:4" x14ac:dyDescent="0.2">
      <c r="B624" s="9"/>
      <c r="C624" s="1"/>
      <c r="D624" s="1"/>
    </row>
    <row r="625" spans="2:4" x14ac:dyDescent="0.2">
      <c r="B625" s="9"/>
      <c r="C625" s="1"/>
      <c r="D625" s="1"/>
    </row>
    <row r="626" spans="2:4" x14ac:dyDescent="0.2">
      <c r="B626" s="9"/>
      <c r="C626" s="1"/>
      <c r="D626" s="1"/>
    </row>
    <row r="627" spans="2:4" x14ac:dyDescent="0.2">
      <c r="B627" s="9"/>
      <c r="C627" s="1"/>
      <c r="D627" s="1"/>
    </row>
    <row r="628" spans="2:4" x14ac:dyDescent="0.2">
      <c r="B628" s="9"/>
      <c r="C628" s="1"/>
      <c r="D628" s="1"/>
    </row>
    <row r="629" spans="2:4" x14ac:dyDescent="0.2">
      <c r="B629" s="9"/>
      <c r="C629" s="1"/>
      <c r="D629" s="1"/>
    </row>
    <row r="630" spans="2:4" x14ac:dyDescent="0.2">
      <c r="B630" s="9"/>
      <c r="C630" s="1"/>
      <c r="D630" s="1"/>
    </row>
    <row r="631" spans="2:4" x14ac:dyDescent="0.2">
      <c r="B631" s="9"/>
      <c r="C631" s="1"/>
      <c r="D631" s="1"/>
    </row>
    <row r="632" spans="2:4" x14ac:dyDescent="0.2">
      <c r="B632" s="9"/>
      <c r="C632" s="1"/>
      <c r="D632" s="1"/>
    </row>
    <row r="633" spans="2:4" x14ac:dyDescent="0.2">
      <c r="B633" s="9"/>
      <c r="C633" s="1"/>
      <c r="D633" s="1"/>
    </row>
    <row r="634" spans="2:4" x14ac:dyDescent="0.2">
      <c r="B634" s="9"/>
      <c r="C634" s="1"/>
      <c r="D634" s="1"/>
    </row>
    <row r="635" spans="2:4" x14ac:dyDescent="0.2">
      <c r="B635" s="9"/>
      <c r="C635" s="1"/>
      <c r="D635" s="1"/>
    </row>
    <row r="636" spans="2:4" x14ac:dyDescent="0.2">
      <c r="B636" s="9"/>
      <c r="C636" s="1"/>
      <c r="D636" s="1"/>
    </row>
    <row r="637" spans="2:4" x14ac:dyDescent="0.2">
      <c r="B637" s="9"/>
      <c r="C637" s="1"/>
      <c r="D637" s="1"/>
    </row>
    <row r="638" spans="2:4" x14ac:dyDescent="0.2">
      <c r="B638" s="9"/>
      <c r="C638" s="1"/>
      <c r="D638" s="1"/>
    </row>
    <row r="639" spans="2:4" x14ac:dyDescent="0.2">
      <c r="B639" s="9"/>
      <c r="C639" s="1"/>
      <c r="D639" s="1"/>
    </row>
    <row r="640" spans="2:4" x14ac:dyDescent="0.2">
      <c r="B640" s="9"/>
      <c r="C640" s="1"/>
      <c r="D640" s="1"/>
    </row>
    <row r="641" spans="2:4" x14ac:dyDescent="0.2">
      <c r="B641" s="9"/>
      <c r="C641" s="1"/>
      <c r="D641" s="1"/>
    </row>
    <row r="642" spans="2:4" x14ac:dyDescent="0.2">
      <c r="B642" s="9"/>
      <c r="C642" s="1"/>
      <c r="D642" s="1"/>
    </row>
    <row r="643" spans="2:4" x14ac:dyDescent="0.2">
      <c r="B643" s="9"/>
      <c r="C643" s="1"/>
      <c r="D643" s="1"/>
    </row>
    <row r="644" spans="2:4" x14ac:dyDescent="0.2">
      <c r="B644" s="9"/>
      <c r="C644" s="1"/>
      <c r="D644" s="1"/>
    </row>
    <row r="645" spans="2:4" x14ac:dyDescent="0.2">
      <c r="B645" s="9"/>
      <c r="C645" s="1"/>
      <c r="D645" s="1"/>
    </row>
    <row r="646" spans="2:4" x14ac:dyDescent="0.2">
      <c r="B646" s="9"/>
      <c r="C646" s="1"/>
      <c r="D646" s="1"/>
    </row>
    <row r="647" spans="2:4" x14ac:dyDescent="0.2">
      <c r="B647" s="9"/>
      <c r="C647" s="1"/>
      <c r="D647" s="1"/>
    </row>
    <row r="648" spans="2:4" x14ac:dyDescent="0.2">
      <c r="B648" s="9"/>
      <c r="C648" s="1"/>
      <c r="D648" s="1"/>
    </row>
    <row r="649" spans="2:4" x14ac:dyDescent="0.2">
      <c r="B649" s="9"/>
      <c r="C649" s="1"/>
      <c r="D649" s="1"/>
    </row>
    <row r="650" spans="2:4" x14ac:dyDescent="0.2">
      <c r="B650" s="9"/>
      <c r="C650" s="1"/>
      <c r="D650" s="1"/>
    </row>
    <row r="651" spans="2:4" x14ac:dyDescent="0.2">
      <c r="B651" s="9"/>
      <c r="C651" s="1"/>
      <c r="D651" s="1"/>
    </row>
    <row r="652" spans="2:4" x14ac:dyDescent="0.2">
      <c r="B652" s="9"/>
      <c r="C652" s="1"/>
      <c r="D652" s="1"/>
    </row>
    <row r="653" spans="2:4" x14ac:dyDescent="0.2">
      <c r="B653" s="9"/>
      <c r="C653" s="1"/>
      <c r="D653" s="1"/>
    </row>
    <row r="654" spans="2:4" x14ac:dyDescent="0.2">
      <c r="B654" s="9"/>
      <c r="C654" s="1"/>
      <c r="D654" s="1"/>
    </row>
    <row r="655" spans="2:4" x14ac:dyDescent="0.2">
      <c r="B655" s="9"/>
      <c r="C655" s="1"/>
      <c r="D655" s="1"/>
    </row>
    <row r="656" spans="2:4" x14ac:dyDescent="0.2">
      <c r="B656" s="9"/>
      <c r="C656" s="1"/>
      <c r="D656" s="1"/>
    </row>
    <row r="657" spans="2:4" x14ac:dyDescent="0.2">
      <c r="B657" s="9"/>
      <c r="C657" s="1"/>
      <c r="D657" s="1"/>
    </row>
    <row r="658" spans="2:4" x14ac:dyDescent="0.2">
      <c r="B658" s="9"/>
      <c r="C658" s="1"/>
      <c r="D658" s="1"/>
    </row>
    <row r="659" spans="2:4" x14ac:dyDescent="0.2">
      <c r="B659" s="9"/>
      <c r="C659" s="1"/>
      <c r="D659" s="1"/>
    </row>
    <row r="660" spans="2:4" x14ac:dyDescent="0.2">
      <c r="B660" s="9"/>
      <c r="C660" s="1"/>
      <c r="D660" s="1"/>
    </row>
    <row r="661" spans="2:4" x14ac:dyDescent="0.2">
      <c r="B661" s="9"/>
      <c r="C661" s="1"/>
      <c r="D661" s="1"/>
    </row>
    <row r="662" spans="2:4" x14ac:dyDescent="0.2">
      <c r="B662" s="9"/>
      <c r="C662" s="1"/>
      <c r="D662" s="1"/>
    </row>
    <row r="663" spans="2:4" x14ac:dyDescent="0.2">
      <c r="B663" s="9"/>
      <c r="C663" s="1"/>
      <c r="D663" s="1"/>
    </row>
    <row r="664" spans="2:4" x14ac:dyDescent="0.2">
      <c r="B664" s="9"/>
      <c r="C664" s="1"/>
      <c r="D664" s="1"/>
    </row>
    <row r="665" spans="2:4" x14ac:dyDescent="0.2">
      <c r="B665" s="9"/>
      <c r="C665" s="1"/>
      <c r="D665" s="1"/>
    </row>
    <row r="666" spans="2:4" x14ac:dyDescent="0.2">
      <c r="B666" s="9"/>
      <c r="C666" s="1"/>
      <c r="D666" s="1"/>
    </row>
    <row r="667" spans="2:4" x14ac:dyDescent="0.2">
      <c r="B667" s="9"/>
      <c r="C667" s="1"/>
      <c r="D667" s="1"/>
    </row>
    <row r="668" spans="2:4" x14ac:dyDescent="0.2">
      <c r="B668" s="9"/>
      <c r="C668" s="1"/>
      <c r="D668" s="1"/>
    </row>
    <row r="669" spans="2:4" x14ac:dyDescent="0.2">
      <c r="B669" s="9"/>
      <c r="C669" s="1"/>
      <c r="D669" s="1"/>
    </row>
    <row r="670" spans="2:4" x14ac:dyDescent="0.2">
      <c r="B670" s="9"/>
      <c r="C670" s="1"/>
      <c r="D670" s="1"/>
    </row>
    <row r="671" spans="2:4" x14ac:dyDescent="0.2">
      <c r="B671" s="9"/>
      <c r="C671" s="1"/>
      <c r="D671" s="1"/>
    </row>
    <row r="672" spans="2:4" x14ac:dyDescent="0.2">
      <c r="B672" s="9"/>
      <c r="C672" s="1"/>
      <c r="D672" s="1"/>
    </row>
    <row r="673" spans="2:4" x14ac:dyDescent="0.2">
      <c r="B673" s="9"/>
      <c r="C673" s="1"/>
      <c r="D673" s="1"/>
    </row>
    <row r="674" spans="2:4" x14ac:dyDescent="0.2">
      <c r="B674" s="9"/>
      <c r="C674" s="1"/>
      <c r="D674" s="1"/>
    </row>
    <row r="675" spans="2:4" x14ac:dyDescent="0.2">
      <c r="B675" s="9"/>
      <c r="C675" s="1"/>
      <c r="D675" s="1"/>
    </row>
    <row r="676" spans="2:4" x14ac:dyDescent="0.2">
      <c r="B676" s="9"/>
      <c r="C676" s="1"/>
      <c r="D676" s="1"/>
    </row>
    <row r="677" spans="2:4" x14ac:dyDescent="0.2">
      <c r="B677" s="9"/>
      <c r="C677" s="1"/>
      <c r="D677" s="1"/>
    </row>
    <row r="678" spans="2:4" x14ac:dyDescent="0.2">
      <c r="B678" s="9"/>
      <c r="C678" s="1"/>
      <c r="D678" s="1"/>
    </row>
    <row r="679" spans="2:4" x14ac:dyDescent="0.2">
      <c r="B679" s="9"/>
      <c r="C679" s="1"/>
      <c r="D679" s="1"/>
    </row>
    <row r="680" spans="2:4" x14ac:dyDescent="0.2">
      <c r="B680" s="9"/>
      <c r="C680" s="1"/>
      <c r="D680" s="1"/>
    </row>
    <row r="681" spans="2:4" x14ac:dyDescent="0.2">
      <c r="B681" s="9"/>
      <c r="C681" s="1"/>
      <c r="D681" s="1"/>
    </row>
    <row r="682" spans="2:4" x14ac:dyDescent="0.2">
      <c r="B682" s="9"/>
      <c r="C682" s="1"/>
      <c r="D682" s="1"/>
    </row>
    <row r="683" spans="2:4" x14ac:dyDescent="0.2">
      <c r="B683" s="9"/>
      <c r="C683" s="1"/>
      <c r="D683" s="1"/>
    </row>
    <row r="684" spans="2:4" x14ac:dyDescent="0.2">
      <c r="B684" s="9"/>
      <c r="C684" s="1"/>
      <c r="D684" s="1"/>
    </row>
    <row r="685" spans="2:4" x14ac:dyDescent="0.2">
      <c r="B685" s="9"/>
      <c r="C685" s="1"/>
      <c r="D685" s="1"/>
    </row>
    <row r="686" spans="2:4" x14ac:dyDescent="0.2">
      <c r="B686" s="9"/>
      <c r="C686" s="1"/>
      <c r="D686" s="1"/>
    </row>
    <row r="687" spans="2:4" x14ac:dyDescent="0.2">
      <c r="B687" s="9"/>
      <c r="C687" s="1"/>
      <c r="D687" s="1"/>
    </row>
    <row r="688" spans="2:4" x14ac:dyDescent="0.2">
      <c r="B688" s="9"/>
      <c r="C688" s="1"/>
      <c r="D688" s="1"/>
    </row>
    <row r="689" spans="2:4" x14ac:dyDescent="0.2">
      <c r="B689" s="9"/>
      <c r="C689" s="1"/>
      <c r="D689" s="1"/>
    </row>
    <row r="690" spans="2:4" x14ac:dyDescent="0.2">
      <c r="B690" s="9"/>
      <c r="C690" s="1"/>
      <c r="D690" s="1"/>
    </row>
    <row r="691" spans="2:4" x14ac:dyDescent="0.2">
      <c r="B691" s="9"/>
      <c r="C691" s="1"/>
      <c r="D691" s="1"/>
    </row>
    <row r="692" spans="2:4" x14ac:dyDescent="0.2">
      <c r="B692" s="9"/>
      <c r="C692" s="1"/>
      <c r="D692" s="1"/>
    </row>
    <row r="693" spans="2:4" x14ac:dyDescent="0.2">
      <c r="B693" s="9"/>
      <c r="C693" s="1"/>
      <c r="D693" s="1"/>
    </row>
    <row r="694" spans="2:4" x14ac:dyDescent="0.2">
      <c r="B694" s="9"/>
      <c r="C694" s="1"/>
      <c r="D694" s="1"/>
    </row>
    <row r="695" spans="2:4" x14ac:dyDescent="0.2">
      <c r="B695" s="9"/>
      <c r="C695" s="1"/>
      <c r="D695" s="1"/>
    </row>
    <row r="696" spans="2:4" x14ac:dyDescent="0.2">
      <c r="B696" s="9"/>
      <c r="C696" s="1"/>
      <c r="D696" s="1"/>
    </row>
    <row r="697" spans="2:4" x14ac:dyDescent="0.2">
      <c r="B697" s="9"/>
      <c r="C697" s="1"/>
      <c r="D697" s="1"/>
    </row>
    <row r="698" spans="2:4" x14ac:dyDescent="0.2">
      <c r="B698" s="9"/>
      <c r="C698" s="1"/>
      <c r="D698" s="1"/>
    </row>
    <row r="699" spans="2:4" x14ac:dyDescent="0.2">
      <c r="B699" s="9"/>
      <c r="C699" s="1"/>
      <c r="D699" s="1"/>
    </row>
    <row r="700" spans="2:4" x14ac:dyDescent="0.2">
      <c r="B700" s="9"/>
      <c r="C700" s="1"/>
      <c r="D700" s="1"/>
    </row>
    <row r="701" spans="2:4" x14ac:dyDescent="0.2">
      <c r="B701" s="9"/>
      <c r="C701" s="1"/>
      <c r="D701" s="1"/>
    </row>
    <row r="702" spans="2:4" x14ac:dyDescent="0.2">
      <c r="B702" s="9"/>
      <c r="C702" s="1"/>
      <c r="D702" s="1"/>
    </row>
    <row r="703" spans="2:4" x14ac:dyDescent="0.2">
      <c r="B703" s="9"/>
      <c r="C703" s="1"/>
      <c r="D703" s="1"/>
    </row>
    <row r="704" spans="2:4" x14ac:dyDescent="0.2">
      <c r="B704" s="9"/>
      <c r="C704" s="1"/>
      <c r="D704" s="1"/>
    </row>
    <row r="705" spans="2:4" x14ac:dyDescent="0.2">
      <c r="B705" s="9"/>
      <c r="C705" s="1"/>
      <c r="D705" s="1"/>
    </row>
    <row r="706" spans="2:4" x14ac:dyDescent="0.2">
      <c r="B706" s="9"/>
      <c r="C706" s="1"/>
      <c r="D706" s="1"/>
    </row>
    <row r="707" spans="2:4" x14ac:dyDescent="0.2">
      <c r="B707" s="9"/>
      <c r="C707" s="1"/>
      <c r="D707" s="1"/>
    </row>
    <row r="708" spans="2:4" x14ac:dyDescent="0.2">
      <c r="B708" s="9"/>
      <c r="C708" s="1"/>
      <c r="D708" s="1"/>
    </row>
    <row r="709" spans="2:4" x14ac:dyDescent="0.2">
      <c r="B709" s="9"/>
      <c r="C709" s="1"/>
      <c r="D709" s="1"/>
    </row>
    <row r="710" spans="2:4" x14ac:dyDescent="0.2">
      <c r="B710" s="9"/>
      <c r="C710" s="1"/>
      <c r="D710" s="1"/>
    </row>
    <row r="711" spans="2:4" x14ac:dyDescent="0.2">
      <c r="B711" s="9"/>
      <c r="C711" s="1"/>
      <c r="D711" s="1"/>
    </row>
    <row r="712" spans="2:4" x14ac:dyDescent="0.2">
      <c r="B712" s="9"/>
      <c r="C712" s="1"/>
      <c r="D712" s="1"/>
    </row>
    <row r="713" spans="2:4" x14ac:dyDescent="0.2">
      <c r="B713" s="9"/>
      <c r="C713" s="1"/>
      <c r="D713" s="1"/>
    </row>
    <row r="714" spans="2:4" x14ac:dyDescent="0.2">
      <c r="B714" s="9"/>
      <c r="C714" s="1"/>
      <c r="D714" s="1"/>
    </row>
    <row r="715" spans="2:4" x14ac:dyDescent="0.2">
      <c r="B715" s="9"/>
      <c r="C715" s="1"/>
      <c r="D715" s="1"/>
    </row>
    <row r="716" spans="2:4" x14ac:dyDescent="0.2">
      <c r="B716" s="9"/>
      <c r="C716" s="1"/>
      <c r="D716" s="1"/>
    </row>
    <row r="717" spans="2:4" x14ac:dyDescent="0.2">
      <c r="B717" s="9"/>
      <c r="C717" s="1"/>
      <c r="D717" s="1"/>
    </row>
    <row r="718" spans="2:4" x14ac:dyDescent="0.2">
      <c r="B718" s="9"/>
      <c r="C718" s="1"/>
      <c r="D718" s="1"/>
    </row>
    <row r="719" spans="2:4" x14ac:dyDescent="0.2">
      <c r="B719" s="9"/>
      <c r="C719" s="1"/>
      <c r="D719" s="1"/>
    </row>
    <row r="720" spans="2:4" x14ac:dyDescent="0.2">
      <c r="B720" s="9"/>
      <c r="C720" s="1"/>
      <c r="D720" s="1"/>
    </row>
    <row r="721" spans="2:4" x14ac:dyDescent="0.2">
      <c r="B721" s="9"/>
      <c r="C721" s="1"/>
      <c r="D721" s="1"/>
    </row>
    <row r="722" spans="2:4" x14ac:dyDescent="0.2">
      <c r="B722" s="9"/>
      <c r="C722" s="1"/>
      <c r="D722" s="1"/>
    </row>
    <row r="723" spans="2:4" x14ac:dyDescent="0.2">
      <c r="B723" s="9"/>
      <c r="C723" s="1"/>
      <c r="D723" s="1"/>
    </row>
    <row r="724" spans="2:4" x14ac:dyDescent="0.2">
      <c r="B724" s="9"/>
      <c r="C724" s="1"/>
      <c r="D724" s="1"/>
    </row>
    <row r="725" spans="2:4" x14ac:dyDescent="0.2">
      <c r="B725" s="9"/>
      <c r="C725" s="1"/>
      <c r="D725" s="1"/>
    </row>
    <row r="726" spans="2:4" x14ac:dyDescent="0.2">
      <c r="B726" s="9"/>
      <c r="C726" s="1"/>
      <c r="D726" s="1"/>
    </row>
    <row r="727" spans="2:4" x14ac:dyDescent="0.2">
      <c r="B727" s="9"/>
      <c r="C727" s="1"/>
      <c r="D727" s="1"/>
    </row>
    <row r="728" spans="2:4" x14ac:dyDescent="0.2">
      <c r="B728" s="9"/>
      <c r="C728" s="1"/>
      <c r="D728" s="1"/>
    </row>
    <row r="729" spans="2:4" x14ac:dyDescent="0.2">
      <c r="B729" s="9"/>
      <c r="C729" s="1"/>
      <c r="D729" s="1"/>
    </row>
    <row r="730" spans="2:4" x14ac:dyDescent="0.2">
      <c r="B730" s="9"/>
      <c r="C730" s="1"/>
      <c r="D730" s="1"/>
    </row>
    <row r="731" spans="2:4" x14ac:dyDescent="0.2">
      <c r="B731" s="9"/>
      <c r="C731" s="1"/>
      <c r="D731" s="1"/>
    </row>
    <row r="732" spans="2:4" x14ac:dyDescent="0.2">
      <c r="B732" s="9"/>
      <c r="C732" s="1"/>
      <c r="D732" s="1"/>
    </row>
    <row r="733" spans="2:4" x14ac:dyDescent="0.2">
      <c r="B733" s="9"/>
      <c r="C733" s="1"/>
      <c r="D733" s="1"/>
    </row>
    <row r="734" spans="2:4" x14ac:dyDescent="0.2">
      <c r="B734" s="9"/>
      <c r="C734" s="1"/>
      <c r="D734" s="1"/>
    </row>
    <row r="735" spans="2:4" x14ac:dyDescent="0.2">
      <c r="B735" s="9"/>
      <c r="C735" s="1"/>
      <c r="D735" s="1"/>
    </row>
    <row r="736" spans="2:4" x14ac:dyDescent="0.2">
      <c r="B736" s="9"/>
      <c r="C736" s="1"/>
      <c r="D736" s="1"/>
    </row>
    <row r="737" spans="2:4" x14ac:dyDescent="0.2">
      <c r="B737" s="9"/>
      <c r="C737" s="1"/>
      <c r="D737" s="1"/>
    </row>
    <row r="738" spans="2:4" x14ac:dyDescent="0.2">
      <c r="B738" s="9"/>
      <c r="C738" s="1"/>
      <c r="D738" s="1"/>
    </row>
    <row r="739" spans="2:4" x14ac:dyDescent="0.2">
      <c r="B739" s="9"/>
      <c r="C739" s="1"/>
      <c r="D739" s="1"/>
    </row>
    <row r="740" spans="2:4" x14ac:dyDescent="0.2">
      <c r="B740" s="9"/>
      <c r="C740" s="1"/>
      <c r="D740" s="1"/>
    </row>
    <row r="741" spans="2:4" x14ac:dyDescent="0.2">
      <c r="B741" s="9"/>
      <c r="C741" s="1"/>
      <c r="D741" s="1"/>
    </row>
    <row r="742" spans="2:4" x14ac:dyDescent="0.2">
      <c r="B742" s="9"/>
      <c r="C742" s="1"/>
      <c r="D742" s="1"/>
    </row>
    <row r="743" spans="2:4" x14ac:dyDescent="0.2">
      <c r="B743" s="9"/>
      <c r="C743" s="1"/>
      <c r="D743" s="1"/>
    </row>
    <row r="744" spans="2:4" x14ac:dyDescent="0.2">
      <c r="B744" s="9"/>
      <c r="C744" s="1"/>
      <c r="D744" s="1"/>
    </row>
    <row r="745" spans="2:4" x14ac:dyDescent="0.2">
      <c r="B745" s="9"/>
      <c r="C745" s="1"/>
      <c r="D745" s="1"/>
    </row>
    <row r="746" spans="2:4" x14ac:dyDescent="0.2">
      <c r="B746" s="9"/>
      <c r="C746" s="1"/>
      <c r="D746" s="1"/>
    </row>
    <row r="747" spans="2:4" x14ac:dyDescent="0.2">
      <c r="B747" s="9"/>
      <c r="C747" s="1"/>
      <c r="D747" s="1"/>
    </row>
    <row r="748" spans="2:4" x14ac:dyDescent="0.2">
      <c r="B748" s="9"/>
      <c r="C748" s="1"/>
      <c r="D748" s="1"/>
    </row>
    <row r="749" spans="2:4" x14ac:dyDescent="0.2">
      <c r="B749" s="9"/>
      <c r="C749" s="1"/>
      <c r="D749" s="1"/>
    </row>
    <row r="750" spans="2:4" x14ac:dyDescent="0.2">
      <c r="B750" s="9"/>
      <c r="C750" s="1"/>
      <c r="D750" s="1"/>
    </row>
    <row r="751" spans="2:4" x14ac:dyDescent="0.2">
      <c r="B751" s="9"/>
      <c r="C751" s="1"/>
      <c r="D751" s="1"/>
    </row>
    <row r="752" spans="2:4" x14ac:dyDescent="0.2">
      <c r="B752" s="9"/>
      <c r="C752" s="1"/>
      <c r="D752" s="1"/>
    </row>
    <row r="753" spans="2:4" x14ac:dyDescent="0.2">
      <c r="B753" s="9"/>
      <c r="C753" s="1"/>
      <c r="D753" s="1"/>
    </row>
    <row r="754" spans="2:4" x14ac:dyDescent="0.2">
      <c r="B754" s="9"/>
      <c r="C754" s="1"/>
      <c r="D754" s="1"/>
    </row>
    <row r="755" spans="2:4" x14ac:dyDescent="0.2">
      <c r="B755" s="9"/>
      <c r="C755" s="1"/>
      <c r="D755" s="1"/>
    </row>
    <row r="756" spans="2:4" x14ac:dyDescent="0.2">
      <c r="B756" s="9"/>
      <c r="C756" s="1"/>
      <c r="D756" s="1"/>
    </row>
    <row r="757" spans="2:4" x14ac:dyDescent="0.2">
      <c r="B757" s="9"/>
      <c r="C757" s="1"/>
      <c r="D757" s="1"/>
    </row>
    <row r="758" spans="2:4" x14ac:dyDescent="0.2">
      <c r="B758" s="9"/>
      <c r="C758" s="1"/>
      <c r="D758" s="1"/>
    </row>
    <row r="759" spans="2:4" x14ac:dyDescent="0.2">
      <c r="B759" s="9"/>
      <c r="C759" s="1"/>
      <c r="D759" s="1"/>
    </row>
    <row r="760" spans="2:4" x14ac:dyDescent="0.2">
      <c r="B760" s="9"/>
      <c r="C760" s="1"/>
      <c r="D760" s="1"/>
    </row>
    <row r="761" spans="2:4" x14ac:dyDescent="0.2">
      <c r="B761" s="9"/>
      <c r="C761" s="1"/>
      <c r="D761" s="1"/>
    </row>
    <row r="762" spans="2:4" x14ac:dyDescent="0.2">
      <c r="B762" s="9"/>
      <c r="C762" s="1"/>
      <c r="D762" s="1"/>
    </row>
    <row r="763" spans="2:4" x14ac:dyDescent="0.2">
      <c r="B763" s="9"/>
      <c r="C763" s="1"/>
      <c r="D763" s="1"/>
    </row>
    <row r="764" spans="2:4" x14ac:dyDescent="0.2">
      <c r="B764" s="9"/>
      <c r="C764" s="1"/>
      <c r="D764" s="1"/>
    </row>
    <row r="765" spans="2:4" x14ac:dyDescent="0.2">
      <c r="B765" s="9"/>
      <c r="C765" s="1"/>
      <c r="D765" s="1"/>
    </row>
    <row r="766" spans="2:4" x14ac:dyDescent="0.2">
      <c r="B766" s="9"/>
      <c r="C766" s="1"/>
      <c r="D766" s="1"/>
    </row>
    <row r="767" spans="2:4" x14ac:dyDescent="0.2">
      <c r="B767" s="9"/>
      <c r="C767" s="1"/>
      <c r="D767" s="1"/>
    </row>
    <row r="768" spans="2:4" x14ac:dyDescent="0.2">
      <c r="B768" s="9"/>
      <c r="C768" s="1"/>
      <c r="D768" s="1"/>
    </row>
    <row r="769" spans="2:4" x14ac:dyDescent="0.2">
      <c r="B769" s="9"/>
      <c r="C769" s="1"/>
      <c r="D769" s="1"/>
    </row>
    <row r="770" spans="2:4" x14ac:dyDescent="0.2">
      <c r="B770" s="9"/>
      <c r="C770" s="1"/>
      <c r="D770" s="1"/>
    </row>
    <row r="771" spans="2:4" x14ac:dyDescent="0.2">
      <c r="B771" s="9"/>
      <c r="C771" s="1"/>
      <c r="D771" s="1"/>
    </row>
    <row r="772" spans="2:4" x14ac:dyDescent="0.2">
      <c r="B772" s="9"/>
      <c r="C772" s="1"/>
      <c r="D772" s="1"/>
    </row>
    <row r="773" spans="2:4" x14ac:dyDescent="0.2">
      <c r="B773" s="9"/>
      <c r="C773" s="1"/>
      <c r="D773" s="1"/>
    </row>
    <row r="774" spans="2:4" x14ac:dyDescent="0.2">
      <c r="B774" s="9"/>
      <c r="C774" s="1"/>
      <c r="D774" s="1"/>
    </row>
    <row r="775" spans="2:4" x14ac:dyDescent="0.2">
      <c r="B775" s="9"/>
      <c r="C775" s="1"/>
      <c r="D775" s="1"/>
    </row>
    <row r="776" spans="2:4" x14ac:dyDescent="0.2">
      <c r="B776" s="9"/>
      <c r="C776" s="1"/>
      <c r="D776" s="1"/>
    </row>
    <row r="777" spans="2:4" x14ac:dyDescent="0.2">
      <c r="B777" s="9"/>
      <c r="C777" s="1"/>
      <c r="D777" s="1"/>
    </row>
    <row r="778" spans="2:4" x14ac:dyDescent="0.2">
      <c r="B778" s="9"/>
      <c r="C778" s="1"/>
      <c r="D778" s="1"/>
    </row>
    <row r="779" spans="2:4" x14ac:dyDescent="0.2">
      <c r="B779" s="9"/>
      <c r="C779" s="1"/>
      <c r="D779" s="1"/>
    </row>
    <row r="780" spans="2:4" x14ac:dyDescent="0.2">
      <c r="B780" s="9"/>
      <c r="C780" s="1"/>
      <c r="D780" s="1"/>
    </row>
    <row r="781" spans="2:4" x14ac:dyDescent="0.2">
      <c r="B781" s="9"/>
      <c r="C781" s="1"/>
      <c r="D781" s="1"/>
    </row>
    <row r="782" spans="2:4" x14ac:dyDescent="0.2">
      <c r="B782" s="9"/>
      <c r="C782" s="1"/>
      <c r="D782" s="1"/>
    </row>
    <row r="783" spans="2:4" x14ac:dyDescent="0.2">
      <c r="B783" s="9"/>
      <c r="C783" s="1"/>
      <c r="D783" s="1"/>
    </row>
    <row r="784" spans="2:4" x14ac:dyDescent="0.2">
      <c r="B784" s="9"/>
      <c r="C784" s="1"/>
      <c r="D784" s="1"/>
    </row>
    <row r="785" spans="2:4" x14ac:dyDescent="0.2">
      <c r="B785" s="9"/>
      <c r="C785" s="1"/>
      <c r="D785" s="1"/>
    </row>
    <row r="786" spans="2:4" x14ac:dyDescent="0.2">
      <c r="B786" s="9"/>
      <c r="C786" s="1"/>
      <c r="D786" s="1"/>
    </row>
    <row r="787" spans="2:4" x14ac:dyDescent="0.2">
      <c r="B787" s="9"/>
      <c r="C787" s="1"/>
      <c r="D787" s="1"/>
    </row>
    <row r="788" spans="2:4" x14ac:dyDescent="0.2">
      <c r="B788" s="9"/>
      <c r="C788" s="1"/>
      <c r="D788" s="1"/>
    </row>
    <row r="789" spans="2:4" x14ac:dyDescent="0.2">
      <c r="B789" s="9"/>
      <c r="C789" s="1"/>
      <c r="D789" s="1"/>
    </row>
    <row r="790" spans="2:4" x14ac:dyDescent="0.2">
      <c r="B790" s="9"/>
      <c r="C790" s="1"/>
      <c r="D790" s="1"/>
    </row>
    <row r="791" spans="2:4" x14ac:dyDescent="0.2">
      <c r="B791" s="9"/>
      <c r="C791" s="1"/>
      <c r="D791" s="1"/>
    </row>
    <row r="792" spans="2:4" x14ac:dyDescent="0.2">
      <c r="B792" s="9"/>
      <c r="C792" s="1"/>
      <c r="D792" s="1"/>
    </row>
    <row r="793" spans="2:4" x14ac:dyDescent="0.2">
      <c r="B793" s="9"/>
      <c r="C793" s="1"/>
      <c r="D793" s="1"/>
    </row>
    <row r="794" spans="2:4" x14ac:dyDescent="0.2">
      <c r="B794" s="9"/>
      <c r="C794" s="1"/>
      <c r="D794" s="1"/>
    </row>
    <row r="795" spans="2:4" x14ac:dyDescent="0.2">
      <c r="B795" s="9"/>
      <c r="C795" s="1"/>
      <c r="D795" s="1"/>
    </row>
    <row r="796" spans="2:4" x14ac:dyDescent="0.2">
      <c r="B796" s="9"/>
      <c r="C796" s="1"/>
      <c r="D796" s="1"/>
    </row>
    <row r="797" spans="2:4" x14ac:dyDescent="0.2">
      <c r="B797" s="9"/>
      <c r="C797" s="1"/>
      <c r="D797" s="1"/>
    </row>
    <row r="798" spans="2:4" x14ac:dyDescent="0.2">
      <c r="B798" s="9"/>
      <c r="C798" s="1"/>
      <c r="D798" s="1"/>
    </row>
    <row r="799" spans="2:4" x14ac:dyDescent="0.2">
      <c r="B799" s="9"/>
      <c r="C799" s="1"/>
      <c r="D799" s="1"/>
    </row>
    <row r="800" spans="2:4" x14ac:dyDescent="0.2">
      <c r="B800" s="9"/>
      <c r="C800" s="1"/>
      <c r="D800" s="1"/>
    </row>
    <row r="801" spans="2:4" x14ac:dyDescent="0.2">
      <c r="B801" s="9"/>
      <c r="C801" s="1"/>
      <c r="D801" s="1"/>
    </row>
    <row r="802" spans="2:4" x14ac:dyDescent="0.2">
      <c r="B802" s="9"/>
      <c r="C802" s="1"/>
      <c r="D802" s="1"/>
    </row>
    <row r="803" spans="2:4" x14ac:dyDescent="0.2">
      <c r="B803" s="9"/>
      <c r="C803" s="1"/>
      <c r="D803" s="1"/>
    </row>
    <row r="804" spans="2:4" x14ac:dyDescent="0.2">
      <c r="B804" s="9"/>
      <c r="C804" s="1"/>
      <c r="D804" s="1"/>
    </row>
    <row r="805" spans="2:4" x14ac:dyDescent="0.2">
      <c r="B805" s="9"/>
      <c r="C805" s="1"/>
      <c r="D805" s="1"/>
    </row>
    <row r="806" spans="2:4" x14ac:dyDescent="0.2">
      <c r="B806" s="9"/>
      <c r="C806" s="1"/>
      <c r="D806" s="1"/>
    </row>
    <row r="807" spans="2:4" x14ac:dyDescent="0.2">
      <c r="B807" s="9"/>
      <c r="C807" s="1"/>
      <c r="D807" s="1"/>
    </row>
    <row r="808" spans="2:4" x14ac:dyDescent="0.2">
      <c r="B808" s="9"/>
      <c r="C808" s="1"/>
      <c r="D808" s="1"/>
    </row>
    <row r="809" spans="2:4" x14ac:dyDescent="0.2">
      <c r="B809" s="9"/>
      <c r="C809" s="1"/>
      <c r="D809" s="1"/>
    </row>
    <row r="810" spans="2:4" x14ac:dyDescent="0.2">
      <c r="B810" s="9"/>
      <c r="C810" s="1"/>
      <c r="D810" s="1"/>
    </row>
    <row r="811" spans="2:4" x14ac:dyDescent="0.2">
      <c r="B811" s="9"/>
      <c r="C811" s="1"/>
      <c r="D811" s="1"/>
    </row>
    <row r="812" spans="2:4" x14ac:dyDescent="0.2">
      <c r="B812" s="9"/>
      <c r="C812" s="1"/>
      <c r="D812" s="1"/>
    </row>
    <row r="813" spans="2:4" x14ac:dyDescent="0.2">
      <c r="B813" s="9"/>
      <c r="C813" s="1"/>
      <c r="D813" s="1"/>
    </row>
    <row r="814" spans="2:4" x14ac:dyDescent="0.2">
      <c r="B814" s="9"/>
      <c r="C814" s="1"/>
      <c r="D814" s="1"/>
    </row>
    <row r="815" spans="2:4" x14ac:dyDescent="0.2">
      <c r="B815" s="9"/>
      <c r="C815" s="1"/>
      <c r="D815" s="1"/>
    </row>
    <row r="816" spans="2:4" x14ac:dyDescent="0.2">
      <c r="B816" s="9"/>
      <c r="C816" s="1"/>
      <c r="D816" s="1"/>
    </row>
    <row r="817" spans="2:4" x14ac:dyDescent="0.2">
      <c r="B817" s="9"/>
      <c r="C817" s="1"/>
      <c r="D817" s="1"/>
    </row>
    <row r="818" spans="2:4" x14ac:dyDescent="0.2">
      <c r="B818" s="9"/>
      <c r="C818" s="1"/>
      <c r="D818" s="1"/>
    </row>
    <row r="819" spans="2:4" x14ac:dyDescent="0.2">
      <c r="B819" s="9"/>
      <c r="C819" s="1"/>
      <c r="D819" s="1"/>
    </row>
    <row r="820" spans="2:4" x14ac:dyDescent="0.2">
      <c r="B820" s="9"/>
      <c r="C820" s="1"/>
      <c r="D820" s="1"/>
    </row>
    <row r="821" spans="2:4" x14ac:dyDescent="0.2">
      <c r="B821" s="9"/>
      <c r="C821" s="1"/>
      <c r="D821" s="1"/>
    </row>
    <row r="822" spans="2:4" x14ac:dyDescent="0.2">
      <c r="B822" s="9"/>
      <c r="C822" s="1"/>
      <c r="D822" s="1"/>
    </row>
    <row r="823" spans="2:4" x14ac:dyDescent="0.2">
      <c r="B823" s="9"/>
      <c r="C823" s="1"/>
      <c r="D823" s="1"/>
    </row>
    <row r="824" spans="2:4" x14ac:dyDescent="0.2">
      <c r="B824" s="9"/>
      <c r="C824" s="1"/>
      <c r="D824" s="1"/>
    </row>
    <row r="825" spans="2:4" x14ac:dyDescent="0.2">
      <c r="B825" s="9"/>
      <c r="C825" s="1"/>
      <c r="D825" s="1"/>
    </row>
    <row r="826" spans="2:4" x14ac:dyDescent="0.2">
      <c r="B826" s="9"/>
      <c r="C826" s="1"/>
      <c r="D826" s="1"/>
    </row>
    <row r="827" spans="2:4" x14ac:dyDescent="0.2">
      <c r="B827" s="9"/>
      <c r="C827" s="1"/>
      <c r="D827" s="1"/>
    </row>
    <row r="828" spans="2:4" x14ac:dyDescent="0.2">
      <c r="B828" s="9"/>
      <c r="C828" s="1"/>
      <c r="D828" s="1"/>
    </row>
    <row r="829" spans="2:4" x14ac:dyDescent="0.2">
      <c r="B829" s="9"/>
      <c r="C829" s="1"/>
      <c r="D829" s="1"/>
    </row>
    <row r="830" spans="2:4" x14ac:dyDescent="0.2">
      <c r="B830" s="9"/>
      <c r="C830" s="1"/>
      <c r="D830" s="1"/>
    </row>
    <row r="831" spans="2:4" x14ac:dyDescent="0.2">
      <c r="B831" s="9"/>
      <c r="C831" s="1"/>
      <c r="D831" s="1"/>
    </row>
    <row r="832" spans="2:4" x14ac:dyDescent="0.2">
      <c r="B832" s="9"/>
      <c r="C832" s="1"/>
      <c r="D832" s="1"/>
    </row>
    <row r="833" spans="2:4" x14ac:dyDescent="0.2">
      <c r="B833" s="9"/>
      <c r="C833" s="1"/>
      <c r="D833" s="1"/>
    </row>
    <row r="834" spans="2:4" x14ac:dyDescent="0.2">
      <c r="B834" s="9"/>
      <c r="C834" s="1"/>
      <c r="D834" s="1"/>
    </row>
    <row r="835" spans="2:4" x14ac:dyDescent="0.2">
      <c r="B835" s="9"/>
      <c r="C835" s="1"/>
      <c r="D835" s="1"/>
    </row>
    <row r="836" spans="2:4" x14ac:dyDescent="0.2">
      <c r="B836" s="9"/>
      <c r="C836" s="1"/>
      <c r="D836" s="1"/>
    </row>
    <row r="837" spans="2:4" x14ac:dyDescent="0.2">
      <c r="B837" s="9"/>
      <c r="C837" s="1"/>
      <c r="D837" s="1"/>
    </row>
    <row r="838" spans="2:4" x14ac:dyDescent="0.2">
      <c r="B838" s="9"/>
      <c r="C838" s="1"/>
      <c r="D838" s="1"/>
    </row>
    <row r="839" spans="2:4" x14ac:dyDescent="0.2">
      <c r="B839" s="9"/>
      <c r="C839" s="1"/>
      <c r="D839" s="1"/>
    </row>
    <row r="840" spans="2:4" x14ac:dyDescent="0.2">
      <c r="B840" s="9"/>
      <c r="C840" s="1"/>
      <c r="D840" s="1"/>
    </row>
    <row r="841" spans="2:4" x14ac:dyDescent="0.2">
      <c r="B841" s="9"/>
      <c r="C841" s="1"/>
      <c r="D841" s="1"/>
    </row>
    <row r="842" spans="2:4" x14ac:dyDescent="0.2">
      <c r="B842" s="9"/>
      <c r="C842" s="1"/>
      <c r="D842" s="1"/>
    </row>
    <row r="843" spans="2:4" x14ac:dyDescent="0.2">
      <c r="B843" s="9"/>
      <c r="C843" s="1"/>
      <c r="D843" s="1"/>
    </row>
    <row r="844" spans="2:4" x14ac:dyDescent="0.2">
      <c r="B844" s="9"/>
      <c r="C844" s="1"/>
      <c r="D844" s="1"/>
    </row>
    <row r="845" spans="2:4" x14ac:dyDescent="0.2">
      <c r="B845" s="9"/>
      <c r="C845" s="1"/>
      <c r="D845" s="1"/>
    </row>
    <row r="846" spans="2:4" x14ac:dyDescent="0.2">
      <c r="B846" s="9"/>
      <c r="C846" s="1"/>
      <c r="D846" s="1"/>
    </row>
    <row r="847" spans="2:4" x14ac:dyDescent="0.2">
      <c r="B847" s="9"/>
      <c r="C847" s="1"/>
      <c r="D847" s="1"/>
    </row>
    <row r="848" spans="2:4" x14ac:dyDescent="0.2">
      <c r="B848" s="9"/>
      <c r="C848" s="1"/>
      <c r="D848" s="1"/>
    </row>
    <row r="849" spans="2:4" x14ac:dyDescent="0.2">
      <c r="B849" s="9"/>
      <c r="C849" s="1"/>
      <c r="D849" s="1"/>
    </row>
    <row r="850" spans="2:4" x14ac:dyDescent="0.2">
      <c r="B850" s="9"/>
      <c r="C850" s="1"/>
      <c r="D850" s="1"/>
    </row>
    <row r="851" spans="2:4" x14ac:dyDescent="0.2">
      <c r="B851" s="9"/>
      <c r="C851" s="1"/>
      <c r="D851" s="1"/>
    </row>
    <row r="852" spans="2:4" x14ac:dyDescent="0.2">
      <c r="B852" s="9"/>
      <c r="C852" s="1"/>
      <c r="D852" s="1"/>
    </row>
    <row r="853" spans="2:4" x14ac:dyDescent="0.2">
      <c r="B853" s="9"/>
      <c r="C853" s="1"/>
      <c r="D853" s="1"/>
    </row>
    <row r="854" spans="2:4" x14ac:dyDescent="0.2">
      <c r="B854" s="9"/>
      <c r="C854" s="1"/>
      <c r="D854" s="1"/>
    </row>
    <row r="855" spans="2:4" x14ac:dyDescent="0.2">
      <c r="B855" s="9"/>
      <c r="C855" s="1"/>
      <c r="D855" s="1"/>
    </row>
    <row r="856" spans="2:4" x14ac:dyDescent="0.2">
      <c r="B856" s="9"/>
      <c r="C856" s="1"/>
      <c r="D856" s="1"/>
    </row>
    <row r="857" spans="2:4" x14ac:dyDescent="0.2">
      <c r="B857" s="9"/>
      <c r="C857" s="1"/>
      <c r="D857" s="1"/>
    </row>
    <row r="858" spans="2:4" x14ac:dyDescent="0.2">
      <c r="B858" s="9"/>
      <c r="C858" s="1"/>
      <c r="D858" s="1"/>
    </row>
    <row r="859" spans="2:4" x14ac:dyDescent="0.2">
      <c r="B859" s="9"/>
      <c r="C859" s="1"/>
      <c r="D859" s="1"/>
    </row>
    <row r="860" spans="2:4" x14ac:dyDescent="0.2">
      <c r="B860" s="9"/>
      <c r="C860" s="1"/>
      <c r="D860" s="1"/>
    </row>
    <row r="861" spans="2:4" x14ac:dyDescent="0.2">
      <c r="B861" s="9"/>
      <c r="C861" s="1"/>
      <c r="D861" s="1"/>
    </row>
    <row r="862" spans="2:4" x14ac:dyDescent="0.2">
      <c r="B862" s="9"/>
      <c r="C862" s="1"/>
      <c r="D862" s="1"/>
    </row>
    <row r="863" spans="2:4" x14ac:dyDescent="0.2">
      <c r="B863" s="9"/>
      <c r="C863" s="1"/>
      <c r="D863" s="1"/>
    </row>
    <row r="864" spans="2:4" x14ac:dyDescent="0.2">
      <c r="B864" s="9"/>
      <c r="C864" s="1"/>
      <c r="D864" s="1"/>
    </row>
    <row r="865" spans="2:4" x14ac:dyDescent="0.2">
      <c r="B865" s="9"/>
      <c r="C865" s="1"/>
      <c r="D865" s="1"/>
    </row>
    <row r="866" spans="2:4" x14ac:dyDescent="0.2">
      <c r="B866" s="9"/>
      <c r="C866" s="1"/>
      <c r="D866" s="1"/>
    </row>
    <row r="867" spans="2:4" x14ac:dyDescent="0.2">
      <c r="B867" s="9"/>
      <c r="C867" s="1"/>
      <c r="D867" s="1"/>
    </row>
    <row r="868" spans="2:4" x14ac:dyDescent="0.2">
      <c r="B868" s="9"/>
      <c r="C868" s="1"/>
      <c r="D868" s="1"/>
    </row>
    <row r="869" spans="2:4" x14ac:dyDescent="0.2">
      <c r="B869" s="9"/>
      <c r="C869" s="1"/>
      <c r="D869" s="1"/>
    </row>
    <row r="870" spans="2:4" x14ac:dyDescent="0.2">
      <c r="B870" s="9"/>
      <c r="C870" s="1"/>
      <c r="D870" s="1"/>
    </row>
    <row r="871" spans="2:4" x14ac:dyDescent="0.2">
      <c r="B871" s="9"/>
      <c r="C871" s="1"/>
      <c r="D871" s="1"/>
    </row>
    <row r="872" spans="2:4" x14ac:dyDescent="0.2">
      <c r="B872" s="9"/>
      <c r="C872" s="1"/>
      <c r="D872" s="1"/>
    </row>
    <row r="873" spans="2:4" x14ac:dyDescent="0.2">
      <c r="B873" s="9"/>
      <c r="C873" s="1"/>
      <c r="D873" s="1"/>
    </row>
    <row r="874" spans="2:4" x14ac:dyDescent="0.2">
      <c r="B874" s="9"/>
      <c r="C874" s="1"/>
      <c r="D874" s="1"/>
    </row>
    <row r="875" spans="2:4" x14ac:dyDescent="0.2">
      <c r="B875" s="9"/>
      <c r="C875" s="1"/>
      <c r="D875" s="1"/>
    </row>
    <row r="876" spans="2:4" x14ac:dyDescent="0.2">
      <c r="B876" s="9"/>
      <c r="C876" s="1"/>
      <c r="D876" s="1"/>
    </row>
    <row r="877" spans="2:4" x14ac:dyDescent="0.2">
      <c r="B877" s="9"/>
      <c r="C877" s="1"/>
      <c r="D877" s="1"/>
    </row>
    <row r="878" spans="2:4" x14ac:dyDescent="0.2">
      <c r="B878" s="9"/>
      <c r="C878" s="1"/>
      <c r="D878" s="1"/>
    </row>
    <row r="879" spans="2:4" x14ac:dyDescent="0.2">
      <c r="B879" s="9"/>
      <c r="C879" s="1"/>
      <c r="D879" s="1"/>
    </row>
    <row r="880" spans="2:4" x14ac:dyDescent="0.2">
      <c r="B880" s="9"/>
      <c r="C880" s="1"/>
      <c r="D880" s="1"/>
    </row>
    <row r="881" spans="2:4" x14ac:dyDescent="0.2">
      <c r="B881" s="9"/>
      <c r="C881" s="1"/>
      <c r="D881" s="1"/>
    </row>
    <row r="882" spans="2:4" x14ac:dyDescent="0.2">
      <c r="B882" s="9"/>
      <c r="C882" s="1"/>
      <c r="D882" s="1"/>
    </row>
    <row r="883" spans="2:4" x14ac:dyDescent="0.2">
      <c r="B883" s="9"/>
      <c r="C883" s="1"/>
      <c r="D883" s="1"/>
    </row>
    <row r="884" spans="2:4" x14ac:dyDescent="0.2">
      <c r="B884" s="9"/>
      <c r="C884" s="1"/>
      <c r="D884" s="1"/>
    </row>
    <row r="885" spans="2:4" x14ac:dyDescent="0.2">
      <c r="B885" s="9"/>
      <c r="C885" s="1"/>
      <c r="D885" s="1"/>
    </row>
    <row r="886" spans="2:4" x14ac:dyDescent="0.2">
      <c r="B886" s="9"/>
      <c r="C886" s="1"/>
      <c r="D886" s="1"/>
    </row>
    <row r="887" spans="2:4" x14ac:dyDescent="0.2">
      <c r="B887" s="9"/>
      <c r="C887" s="1"/>
      <c r="D887" s="1"/>
    </row>
    <row r="888" spans="2:4" x14ac:dyDescent="0.2">
      <c r="B888" s="9"/>
      <c r="C888" s="1"/>
      <c r="D888" s="1"/>
    </row>
    <row r="889" spans="2:4" x14ac:dyDescent="0.2">
      <c r="B889" s="9"/>
      <c r="C889" s="1"/>
      <c r="D889" s="1"/>
    </row>
    <row r="890" spans="2:4" x14ac:dyDescent="0.2">
      <c r="B890" s="9"/>
      <c r="C890" s="1"/>
      <c r="D890" s="1"/>
    </row>
    <row r="891" spans="2:4" x14ac:dyDescent="0.2">
      <c r="B891" s="9"/>
      <c r="C891" s="1"/>
      <c r="D891" s="1"/>
    </row>
    <row r="892" spans="2:4" x14ac:dyDescent="0.2">
      <c r="B892" s="9"/>
      <c r="C892" s="1"/>
      <c r="D892" s="1"/>
    </row>
    <row r="893" spans="2:4" x14ac:dyDescent="0.2">
      <c r="B893" s="9"/>
      <c r="C893" s="1"/>
      <c r="D893" s="1"/>
    </row>
    <row r="894" spans="2:4" x14ac:dyDescent="0.2">
      <c r="B894" s="9"/>
      <c r="C894" s="1"/>
      <c r="D894" s="1"/>
    </row>
    <row r="895" spans="2:4" x14ac:dyDescent="0.2">
      <c r="B895" s="9"/>
      <c r="C895" s="1"/>
      <c r="D895" s="1"/>
    </row>
    <row r="896" spans="2:4" x14ac:dyDescent="0.2">
      <c r="B896" s="9"/>
      <c r="C896" s="1"/>
      <c r="D896" s="1"/>
    </row>
    <row r="897" spans="2:4" x14ac:dyDescent="0.2">
      <c r="B897" s="9"/>
      <c r="C897" s="1"/>
      <c r="D897" s="1"/>
    </row>
    <row r="898" spans="2:4" x14ac:dyDescent="0.2">
      <c r="B898" s="9"/>
      <c r="C898" s="1"/>
      <c r="D898" s="1"/>
    </row>
    <row r="899" spans="2:4" x14ac:dyDescent="0.2">
      <c r="B899" s="9"/>
      <c r="C899" s="1"/>
      <c r="D899" s="1"/>
    </row>
    <row r="900" spans="2:4" x14ac:dyDescent="0.2">
      <c r="B900" s="9"/>
      <c r="C900" s="1"/>
      <c r="D900" s="1"/>
    </row>
    <row r="901" spans="2:4" x14ac:dyDescent="0.2">
      <c r="B901" s="9"/>
      <c r="C901" s="1"/>
      <c r="D901" s="1"/>
    </row>
    <row r="902" spans="2:4" x14ac:dyDescent="0.2">
      <c r="B902" s="9"/>
      <c r="C902" s="1"/>
      <c r="D902" s="1"/>
    </row>
    <row r="903" spans="2:4" x14ac:dyDescent="0.2">
      <c r="B903" s="9"/>
      <c r="C903" s="1"/>
      <c r="D903" s="1"/>
    </row>
    <row r="904" spans="2:4" x14ac:dyDescent="0.2">
      <c r="B904" s="9"/>
      <c r="C904" s="1"/>
      <c r="D904" s="1"/>
    </row>
    <row r="905" spans="2:4" x14ac:dyDescent="0.2">
      <c r="B905" s="9"/>
      <c r="C905" s="1"/>
      <c r="D905" s="1"/>
    </row>
    <row r="906" spans="2:4" x14ac:dyDescent="0.2">
      <c r="B906" s="9"/>
      <c r="C906" s="1"/>
      <c r="D906" s="1"/>
    </row>
    <row r="907" spans="2:4" x14ac:dyDescent="0.2">
      <c r="B907" s="9"/>
      <c r="C907" s="1"/>
      <c r="D907" s="1"/>
    </row>
    <row r="908" spans="2:4" x14ac:dyDescent="0.2">
      <c r="B908" s="9"/>
      <c r="C908" s="1"/>
      <c r="D908" s="1"/>
    </row>
    <row r="909" spans="2:4" x14ac:dyDescent="0.2">
      <c r="B909" s="9"/>
      <c r="C909" s="1"/>
      <c r="D909" s="1"/>
    </row>
    <row r="910" spans="2:4" x14ac:dyDescent="0.2">
      <c r="B910" s="9"/>
      <c r="C910" s="1"/>
      <c r="D910" s="1"/>
    </row>
    <row r="911" spans="2:4" x14ac:dyDescent="0.2">
      <c r="B911" s="9"/>
      <c r="C911" s="1"/>
      <c r="D911" s="1"/>
    </row>
    <row r="912" spans="2:4" x14ac:dyDescent="0.2">
      <c r="B912" s="9"/>
      <c r="C912" s="1"/>
      <c r="D912" s="1"/>
    </row>
    <row r="913" spans="2:4" x14ac:dyDescent="0.2">
      <c r="B913" s="9"/>
      <c r="C913" s="1"/>
      <c r="D913" s="1"/>
    </row>
    <row r="914" spans="2:4" x14ac:dyDescent="0.2">
      <c r="B914" s="9"/>
      <c r="C914" s="1"/>
      <c r="D914" s="1"/>
    </row>
    <row r="915" spans="2:4" x14ac:dyDescent="0.2">
      <c r="B915" s="9"/>
      <c r="C915" s="1"/>
      <c r="D915" s="1"/>
    </row>
    <row r="916" spans="2:4" x14ac:dyDescent="0.2">
      <c r="B916" s="9"/>
      <c r="C916" s="1"/>
      <c r="D916" s="1"/>
    </row>
    <row r="917" spans="2:4" x14ac:dyDescent="0.2">
      <c r="B917" s="9"/>
      <c r="C917" s="1"/>
      <c r="D917" s="1"/>
    </row>
    <row r="918" spans="2:4" x14ac:dyDescent="0.2">
      <c r="B918" s="9"/>
      <c r="C918" s="1"/>
      <c r="D918" s="1"/>
    </row>
    <row r="919" spans="2:4" x14ac:dyDescent="0.2">
      <c r="B919" s="9"/>
      <c r="C919" s="1"/>
      <c r="D919" s="1"/>
    </row>
    <row r="920" spans="2:4" x14ac:dyDescent="0.2">
      <c r="B920" s="9"/>
      <c r="C920" s="1"/>
      <c r="D920" s="1"/>
    </row>
    <row r="921" spans="2:4" x14ac:dyDescent="0.2">
      <c r="B921" s="9"/>
      <c r="C921" s="1"/>
      <c r="D921" s="1"/>
    </row>
    <row r="922" spans="2:4" x14ac:dyDescent="0.2">
      <c r="B922" s="9"/>
      <c r="C922" s="1"/>
      <c r="D922" s="1"/>
    </row>
    <row r="923" spans="2:4" x14ac:dyDescent="0.2">
      <c r="B923" s="9"/>
      <c r="C923" s="1"/>
      <c r="D923" s="1"/>
    </row>
    <row r="924" spans="2:4" x14ac:dyDescent="0.2">
      <c r="B924" s="9"/>
      <c r="C924" s="1"/>
      <c r="D924" s="1"/>
    </row>
    <row r="925" spans="2:4" x14ac:dyDescent="0.2">
      <c r="B925" s="9"/>
      <c r="C925" s="1"/>
      <c r="D925" s="1"/>
    </row>
    <row r="926" spans="2:4" x14ac:dyDescent="0.2">
      <c r="B926" s="9"/>
      <c r="C926" s="1"/>
      <c r="D926" s="1"/>
    </row>
    <row r="927" spans="2:4" x14ac:dyDescent="0.2">
      <c r="B927" s="9"/>
      <c r="C927" s="1"/>
      <c r="D927" s="1"/>
    </row>
    <row r="928" spans="2:4" x14ac:dyDescent="0.2">
      <c r="B928" s="9"/>
      <c r="C928" s="1"/>
      <c r="D928" s="1"/>
    </row>
    <row r="929" spans="2:4" x14ac:dyDescent="0.2">
      <c r="B929" s="9"/>
      <c r="C929" s="1"/>
      <c r="D929" s="1"/>
    </row>
    <row r="930" spans="2:4" x14ac:dyDescent="0.2">
      <c r="B930" s="9"/>
      <c r="C930" s="1"/>
      <c r="D930" s="1"/>
    </row>
    <row r="931" spans="2:4" x14ac:dyDescent="0.2">
      <c r="B931" s="9"/>
      <c r="C931" s="1"/>
      <c r="D931" s="1"/>
    </row>
    <row r="932" spans="2:4" x14ac:dyDescent="0.2">
      <c r="B932" s="9"/>
      <c r="C932" s="1"/>
      <c r="D932" s="1"/>
    </row>
    <row r="933" spans="2:4" x14ac:dyDescent="0.2">
      <c r="B933" s="9"/>
      <c r="C933" s="1"/>
      <c r="D933" s="1"/>
    </row>
    <row r="934" spans="2:4" x14ac:dyDescent="0.2">
      <c r="B934" s="9"/>
      <c r="C934" s="1"/>
      <c r="D934" s="1"/>
    </row>
    <row r="935" spans="2:4" x14ac:dyDescent="0.2">
      <c r="B935" s="9"/>
      <c r="C935" s="1"/>
      <c r="D935" s="1"/>
    </row>
    <row r="936" spans="2:4" x14ac:dyDescent="0.2">
      <c r="B936" s="9"/>
      <c r="C936" s="1"/>
      <c r="D936" s="1"/>
    </row>
    <row r="937" spans="2:4" x14ac:dyDescent="0.2">
      <c r="B937" s="9"/>
      <c r="C937" s="1"/>
      <c r="D937" s="1"/>
    </row>
    <row r="938" spans="2:4" x14ac:dyDescent="0.2">
      <c r="B938" s="9"/>
      <c r="C938" s="1"/>
      <c r="D938" s="1"/>
    </row>
    <row r="939" spans="2:4" x14ac:dyDescent="0.2">
      <c r="B939" s="9"/>
      <c r="C939" s="1"/>
      <c r="D939" s="1"/>
    </row>
    <row r="940" spans="2:4" x14ac:dyDescent="0.2">
      <c r="B940" s="9"/>
      <c r="C940" s="1"/>
      <c r="D940" s="1"/>
    </row>
    <row r="941" spans="2:4" x14ac:dyDescent="0.2">
      <c r="B941" s="9"/>
      <c r="C941" s="1"/>
      <c r="D941" s="1"/>
    </row>
    <row r="942" spans="2:4" x14ac:dyDescent="0.2">
      <c r="B942" s="9"/>
      <c r="C942" s="1"/>
      <c r="D942" s="1"/>
    </row>
    <row r="943" spans="2:4" x14ac:dyDescent="0.2">
      <c r="B943" s="9"/>
      <c r="C943" s="1"/>
      <c r="D943" s="1"/>
    </row>
    <row r="944" spans="2:4" x14ac:dyDescent="0.2">
      <c r="B944" s="9"/>
      <c r="C944" s="1"/>
      <c r="D944" s="1"/>
    </row>
    <row r="945" spans="2:4" x14ac:dyDescent="0.2">
      <c r="B945" s="9"/>
      <c r="C945" s="1"/>
      <c r="D945" s="1"/>
    </row>
    <row r="946" spans="2:4" x14ac:dyDescent="0.2">
      <c r="B946" s="9"/>
      <c r="C946" s="1"/>
      <c r="D946" s="1"/>
    </row>
    <row r="947" spans="2:4" x14ac:dyDescent="0.2">
      <c r="B947" s="9"/>
      <c r="C947" s="1"/>
      <c r="D947" s="1"/>
    </row>
    <row r="948" spans="2:4" x14ac:dyDescent="0.2">
      <c r="B948" s="9"/>
      <c r="C948" s="1"/>
      <c r="D948" s="1"/>
    </row>
    <row r="949" spans="2:4" x14ac:dyDescent="0.2">
      <c r="B949" s="9"/>
      <c r="C949" s="1"/>
      <c r="D949" s="1"/>
    </row>
    <row r="950" spans="2:4" x14ac:dyDescent="0.2">
      <c r="B950" s="9"/>
      <c r="C950" s="1"/>
      <c r="D950" s="1"/>
    </row>
    <row r="951" spans="2:4" x14ac:dyDescent="0.2">
      <c r="B951" s="9"/>
      <c r="C951" s="1"/>
      <c r="D951" s="1"/>
    </row>
    <row r="952" spans="2:4" x14ac:dyDescent="0.2">
      <c r="B952" s="9"/>
      <c r="C952" s="1"/>
      <c r="D952" s="1"/>
    </row>
    <row r="953" spans="2:4" x14ac:dyDescent="0.2">
      <c r="B953" s="9"/>
      <c r="C953" s="1"/>
      <c r="D953" s="1"/>
    </row>
    <row r="954" spans="2:4" x14ac:dyDescent="0.2">
      <c r="B954" s="9"/>
      <c r="C954" s="1"/>
      <c r="D954" s="1"/>
    </row>
    <row r="955" spans="2:4" x14ac:dyDescent="0.2">
      <c r="B955" s="9"/>
      <c r="C955" s="1"/>
      <c r="D955" s="1"/>
    </row>
    <row r="956" spans="2:4" x14ac:dyDescent="0.2">
      <c r="B956" s="9"/>
      <c r="C956" s="1"/>
      <c r="D956" s="1"/>
    </row>
    <row r="957" spans="2:4" x14ac:dyDescent="0.2">
      <c r="B957" s="9"/>
      <c r="C957" s="1"/>
      <c r="D957" s="1"/>
    </row>
    <row r="958" spans="2:4" x14ac:dyDescent="0.2">
      <c r="B958" s="9"/>
      <c r="C958" s="1"/>
      <c r="D958" s="1"/>
    </row>
    <row r="959" spans="2:4" x14ac:dyDescent="0.2">
      <c r="B959" s="9"/>
      <c r="C959" s="1"/>
      <c r="D959" s="1"/>
    </row>
    <row r="960" spans="2:4" x14ac:dyDescent="0.2">
      <c r="B960" s="9"/>
      <c r="C960" s="1"/>
      <c r="D960" s="1"/>
    </row>
    <row r="961" spans="2:4" x14ac:dyDescent="0.2">
      <c r="B961" s="9"/>
      <c r="C961" s="1"/>
      <c r="D961" s="1"/>
    </row>
    <row r="962" spans="2:4" x14ac:dyDescent="0.2">
      <c r="B962" s="9"/>
      <c r="C962" s="1"/>
      <c r="D962" s="1"/>
    </row>
    <row r="963" spans="2:4" x14ac:dyDescent="0.2">
      <c r="B963" s="9"/>
      <c r="C963" s="1"/>
      <c r="D963" s="1"/>
    </row>
    <row r="964" spans="2:4" x14ac:dyDescent="0.2">
      <c r="B964" s="9"/>
      <c r="C964" s="1"/>
      <c r="D964" s="1"/>
    </row>
    <row r="965" spans="2:4" x14ac:dyDescent="0.2">
      <c r="B965" s="9"/>
      <c r="C965" s="1"/>
      <c r="D965" s="1"/>
    </row>
    <row r="966" spans="2:4" x14ac:dyDescent="0.2">
      <c r="B966" s="9"/>
      <c r="C966" s="1"/>
      <c r="D966" s="1"/>
    </row>
    <row r="967" spans="2:4" x14ac:dyDescent="0.2">
      <c r="B967" s="9"/>
      <c r="C967" s="1"/>
      <c r="D967" s="1"/>
    </row>
    <row r="968" spans="2:4" x14ac:dyDescent="0.2">
      <c r="B968" s="9"/>
      <c r="C968" s="1"/>
      <c r="D968" s="1"/>
    </row>
    <row r="969" spans="2:4" x14ac:dyDescent="0.2">
      <c r="B969" s="9"/>
      <c r="C969" s="1"/>
      <c r="D969" s="1"/>
    </row>
    <row r="970" spans="2:4" x14ac:dyDescent="0.2">
      <c r="B970" s="9"/>
      <c r="C970" s="1"/>
      <c r="D970" s="1"/>
    </row>
    <row r="971" spans="2:4" x14ac:dyDescent="0.2">
      <c r="B971" s="9"/>
      <c r="C971" s="1"/>
      <c r="D971" s="1"/>
    </row>
    <row r="972" spans="2:4" x14ac:dyDescent="0.2">
      <c r="B972" s="9"/>
      <c r="C972" s="1"/>
      <c r="D972" s="1"/>
    </row>
    <row r="973" spans="2:4" x14ac:dyDescent="0.2">
      <c r="B973" s="9"/>
      <c r="C973" s="1"/>
      <c r="D973" s="1"/>
    </row>
    <row r="974" spans="2:4" x14ac:dyDescent="0.2">
      <c r="B974" s="9"/>
      <c r="C974" s="1"/>
      <c r="D974" s="1"/>
    </row>
    <row r="975" spans="2:4" x14ac:dyDescent="0.2">
      <c r="B975" s="9"/>
      <c r="C975" s="1"/>
      <c r="D975" s="1"/>
    </row>
    <row r="976" spans="2:4" x14ac:dyDescent="0.2">
      <c r="B976" s="9"/>
      <c r="C976" s="1"/>
      <c r="D976" s="1"/>
    </row>
    <row r="977" spans="2:4" x14ac:dyDescent="0.2">
      <c r="B977" s="9"/>
      <c r="C977" s="1"/>
      <c r="D977" s="1"/>
    </row>
    <row r="978" spans="2:4" x14ac:dyDescent="0.2">
      <c r="B978" s="9"/>
      <c r="C978" s="1"/>
      <c r="D978" s="1"/>
    </row>
    <row r="979" spans="2:4" x14ac:dyDescent="0.2">
      <c r="B979" s="9"/>
      <c r="C979" s="1"/>
      <c r="D979" s="1"/>
    </row>
    <row r="980" spans="2:4" x14ac:dyDescent="0.2">
      <c r="B980" s="9"/>
      <c r="C980" s="1"/>
      <c r="D980" s="1"/>
    </row>
    <row r="981" spans="2:4" x14ac:dyDescent="0.2">
      <c r="B981" s="9"/>
      <c r="C981" s="1"/>
      <c r="D981" s="1"/>
    </row>
    <row r="982" spans="2:4" x14ac:dyDescent="0.2">
      <c r="B982" s="9"/>
      <c r="C982" s="1"/>
      <c r="D982" s="1"/>
    </row>
    <row r="983" spans="2:4" x14ac:dyDescent="0.2">
      <c r="B983" s="9"/>
      <c r="C983" s="1"/>
      <c r="D983" s="1"/>
    </row>
    <row r="984" spans="2:4" x14ac:dyDescent="0.2">
      <c r="B984" s="9"/>
      <c r="C984" s="1"/>
      <c r="D984" s="1"/>
    </row>
    <row r="985" spans="2:4" x14ac:dyDescent="0.2">
      <c r="B985" s="9"/>
      <c r="C985" s="1"/>
      <c r="D985" s="1"/>
    </row>
    <row r="986" spans="2:4" x14ac:dyDescent="0.2">
      <c r="B986" s="9"/>
      <c r="C986" s="1"/>
      <c r="D986" s="1"/>
    </row>
    <row r="987" spans="2:4" x14ac:dyDescent="0.2">
      <c r="B987" s="9"/>
      <c r="C987" s="1"/>
      <c r="D987" s="1"/>
    </row>
    <row r="988" spans="2:4" x14ac:dyDescent="0.2">
      <c r="B988" s="9"/>
      <c r="C988" s="1"/>
      <c r="D988" s="1"/>
    </row>
    <row r="989" spans="2:4" x14ac:dyDescent="0.2">
      <c r="B989" s="9"/>
      <c r="C989" s="1"/>
      <c r="D989" s="1"/>
    </row>
    <row r="990" spans="2:4" x14ac:dyDescent="0.2">
      <c r="B990" s="9"/>
      <c r="C990" s="1"/>
      <c r="D990" s="1"/>
    </row>
    <row r="991" spans="2:4" x14ac:dyDescent="0.2">
      <c r="B991" s="9"/>
      <c r="C991" s="1"/>
      <c r="D991" s="1"/>
    </row>
    <row r="992" spans="2:4" x14ac:dyDescent="0.2">
      <c r="B992" s="9"/>
      <c r="C992" s="1"/>
      <c r="D992" s="1"/>
    </row>
    <row r="993" spans="2:4" x14ac:dyDescent="0.2">
      <c r="B993" s="9"/>
      <c r="C993" s="1"/>
      <c r="D993" s="1"/>
    </row>
    <row r="994" spans="2:4" x14ac:dyDescent="0.2">
      <c r="B994" s="9"/>
      <c r="C994" s="1"/>
      <c r="D994" s="1"/>
    </row>
    <row r="995" spans="2:4" x14ac:dyDescent="0.2">
      <c r="B995" s="9"/>
      <c r="C995" s="1"/>
      <c r="D995" s="1"/>
    </row>
    <row r="996" spans="2:4" x14ac:dyDescent="0.2">
      <c r="B996" s="9"/>
      <c r="C996" s="1"/>
      <c r="D996" s="1"/>
    </row>
    <row r="997" spans="2:4" x14ac:dyDescent="0.2">
      <c r="B997" s="9"/>
      <c r="C997" s="1"/>
      <c r="D997" s="1"/>
    </row>
    <row r="998" spans="2:4" x14ac:dyDescent="0.2">
      <c r="B998" s="9"/>
      <c r="C998" s="1"/>
      <c r="D998" s="1"/>
    </row>
    <row r="999" spans="2:4" x14ac:dyDescent="0.2">
      <c r="B999" s="9"/>
      <c r="C999" s="1"/>
      <c r="D999" s="1"/>
    </row>
    <row r="1000" spans="2:4" x14ac:dyDescent="0.2">
      <c r="B1000" s="9"/>
      <c r="C1000" s="1"/>
      <c r="D1000" s="1"/>
    </row>
    <row r="1001" spans="2:4" x14ac:dyDescent="0.2">
      <c r="B1001" s="9"/>
      <c r="C1001" s="1"/>
      <c r="D1001" s="1"/>
    </row>
    <row r="1002" spans="2:4" x14ac:dyDescent="0.2">
      <c r="B1002" s="9"/>
      <c r="C1002" s="1"/>
      <c r="D1002" s="1"/>
    </row>
    <row r="1003" spans="2:4" x14ac:dyDescent="0.2">
      <c r="B1003" s="9"/>
      <c r="C1003" s="1"/>
      <c r="D1003" s="1"/>
    </row>
    <row r="1004" spans="2:4" x14ac:dyDescent="0.2">
      <c r="B1004" s="9"/>
      <c r="C1004" s="1"/>
      <c r="D1004" s="1"/>
    </row>
    <row r="1005" spans="2:4" x14ac:dyDescent="0.2">
      <c r="B1005" s="9"/>
      <c r="C1005" s="1"/>
      <c r="D1005" s="1"/>
    </row>
    <row r="1006" spans="2:4" x14ac:dyDescent="0.2">
      <c r="B1006" s="9"/>
      <c r="C1006" s="1"/>
      <c r="D1006" s="1"/>
    </row>
    <row r="1007" spans="2:4" x14ac:dyDescent="0.2">
      <c r="B1007" s="9"/>
      <c r="C1007" s="1"/>
      <c r="D1007" s="1"/>
    </row>
    <row r="1008" spans="2:4" x14ac:dyDescent="0.2">
      <c r="B1008" s="9"/>
      <c r="C1008" s="1"/>
      <c r="D1008" s="1"/>
    </row>
    <row r="1009" spans="2:4" x14ac:dyDescent="0.2">
      <c r="B1009" s="9"/>
      <c r="C1009" s="1"/>
      <c r="D1009" s="1"/>
    </row>
    <row r="1010" spans="2:4" x14ac:dyDescent="0.2">
      <c r="B1010" s="9"/>
      <c r="C1010" s="1"/>
      <c r="D1010" s="1"/>
    </row>
    <row r="1011" spans="2:4" x14ac:dyDescent="0.2">
      <c r="B1011" s="9"/>
      <c r="C1011" s="1"/>
      <c r="D1011" s="1"/>
    </row>
    <row r="1012" spans="2:4" x14ac:dyDescent="0.2">
      <c r="B1012" s="9"/>
      <c r="C1012" s="1"/>
      <c r="D1012" s="1"/>
    </row>
    <row r="1013" spans="2:4" x14ac:dyDescent="0.2">
      <c r="B1013" s="9"/>
      <c r="C1013" s="1"/>
      <c r="D1013" s="1"/>
    </row>
    <row r="1014" spans="2:4" x14ac:dyDescent="0.2">
      <c r="B1014" s="9"/>
      <c r="C1014" s="1"/>
      <c r="D1014" s="1"/>
    </row>
    <row r="1015" spans="2:4" x14ac:dyDescent="0.2">
      <c r="B1015" s="9"/>
      <c r="C1015" s="1"/>
      <c r="D1015" s="1"/>
    </row>
    <row r="1016" spans="2:4" x14ac:dyDescent="0.2">
      <c r="B1016" s="9"/>
      <c r="C1016" s="1"/>
      <c r="D1016" s="1"/>
    </row>
    <row r="1017" spans="2:4" x14ac:dyDescent="0.2">
      <c r="B1017" s="9"/>
      <c r="C1017" s="1"/>
      <c r="D1017" s="1"/>
    </row>
    <row r="1018" spans="2:4" x14ac:dyDescent="0.2">
      <c r="B1018" s="9"/>
      <c r="C1018" s="1"/>
      <c r="D1018" s="1"/>
    </row>
    <row r="1019" spans="2:4" x14ac:dyDescent="0.2">
      <c r="B1019" s="9"/>
      <c r="C1019" s="1"/>
      <c r="D1019" s="1"/>
    </row>
    <row r="1020" spans="2:4" x14ac:dyDescent="0.2">
      <c r="B1020" s="9"/>
      <c r="C1020" s="1"/>
      <c r="D1020" s="1"/>
    </row>
    <row r="1021" spans="2:4" x14ac:dyDescent="0.2">
      <c r="B1021" s="9"/>
      <c r="C1021" s="1"/>
      <c r="D1021" s="1"/>
    </row>
    <row r="1022" spans="2:4" x14ac:dyDescent="0.2">
      <c r="B1022" s="9"/>
      <c r="C1022" s="1"/>
      <c r="D1022" s="1"/>
    </row>
    <row r="1023" spans="2:4" x14ac:dyDescent="0.2">
      <c r="B1023" s="9"/>
      <c r="C1023" s="1"/>
      <c r="D1023" s="1"/>
    </row>
    <row r="1024" spans="2:4" x14ac:dyDescent="0.2">
      <c r="B1024" s="9"/>
      <c r="C1024" s="1"/>
      <c r="D1024" s="1"/>
    </row>
    <row r="1025" spans="2:4" x14ac:dyDescent="0.2">
      <c r="B1025" s="9"/>
      <c r="C1025" s="1"/>
      <c r="D1025" s="1"/>
    </row>
    <row r="1026" spans="2:4" x14ac:dyDescent="0.2">
      <c r="B1026" s="9"/>
      <c r="C1026" s="1"/>
      <c r="D1026" s="1"/>
    </row>
    <row r="1027" spans="2:4" x14ac:dyDescent="0.2">
      <c r="B1027" s="9"/>
      <c r="C1027" s="1"/>
      <c r="D1027" s="1"/>
    </row>
    <row r="1028" spans="2:4" x14ac:dyDescent="0.2">
      <c r="B1028" s="9"/>
      <c r="C1028" s="1"/>
      <c r="D1028" s="1"/>
    </row>
    <row r="1029" spans="2:4" x14ac:dyDescent="0.2">
      <c r="B1029" s="9"/>
      <c r="C1029" s="1"/>
      <c r="D1029" s="1"/>
    </row>
    <row r="1030" spans="2:4" x14ac:dyDescent="0.2">
      <c r="B1030" s="9"/>
      <c r="C1030" s="1"/>
      <c r="D1030" s="1"/>
    </row>
    <row r="1031" spans="2:4" x14ac:dyDescent="0.2">
      <c r="B1031" s="9"/>
      <c r="C1031" s="1"/>
      <c r="D1031" s="1"/>
    </row>
    <row r="1032" spans="2:4" x14ac:dyDescent="0.2">
      <c r="B1032" s="9"/>
      <c r="C1032" s="1"/>
      <c r="D1032" s="1"/>
    </row>
    <row r="1033" spans="2:4" x14ac:dyDescent="0.2">
      <c r="B1033" s="9"/>
      <c r="C1033" s="1"/>
      <c r="D1033" s="1"/>
    </row>
    <row r="1034" spans="2:4" x14ac:dyDescent="0.2">
      <c r="B1034" s="9"/>
      <c r="C1034" s="1"/>
      <c r="D1034" s="1"/>
    </row>
    <row r="1035" spans="2:4" x14ac:dyDescent="0.2">
      <c r="B1035" s="9"/>
      <c r="C1035" s="1"/>
      <c r="D1035" s="1"/>
    </row>
    <row r="1036" spans="2:4" x14ac:dyDescent="0.2">
      <c r="B1036" s="9"/>
      <c r="C1036" s="1"/>
      <c r="D1036" s="1"/>
    </row>
    <row r="1037" spans="2:4" x14ac:dyDescent="0.2">
      <c r="B1037" s="9"/>
      <c r="C1037" s="1"/>
      <c r="D1037" s="1"/>
    </row>
    <row r="1038" spans="2:4" x14ac:dyDescent="0.2">
      <c r="B1038" s="9"/>
      <c r="C1038" s="1"/>
      <c r="D1038" s="1"/>
    </row>
    <row r="1039" spans="2:4" x14ac:dyDescent="0.2">
      <c r="B1039" s="9"/>
      <c r="C1039" s="1"/>
      <c r="D1039" s="1"/>
    </row>
    <row r="1040" spans="2:4" x14ac:dyDescent="0.2">
      <c r="B1040" s="9"/>
      <c r="C1040" s="1"/>
      <c r="D1040" s="1"/>
    </row>
    <row r="1041" spans="2:4" x14ac:dyDescent="0.2">
      <c r="B1041" s="9"/>
      <c r="C1041" s="1"/>
      <c r="D1041" s="1"/>
    </row>
    <row r="1042" spans="2:4" x14ac:dyDescent="0.2">
      <c r="B1042" s="9"/>
      <c r="C1042" s="1"/>
      <c r="D1042" s="1"/>
    </row>
    <row r="1043" spans="2:4" x14ac:dyDescent="0.2">
      <c r="B1043" s="9"/>
      <c r="C1043" s="1"/>
      <c r="D1043" s="1"/>
    </row>
    <row r="1044" spans="2:4" x14ac:dyDescent="0.2">
      <c r="B1044" s="9"/>
      <c r="C1044" s="1"/>
      <c r="D1044" s="1"/>
    </row>
    <row r="1045" spans="2:4" x14ac:dyDescent="0.2">
      <c r="B1045" s="9"/>
      <c r="C1045" s="1"/>
      <c r="D1045" s="1"/>
    </row>
    <row r="1046" spans="2:4" x14ac:dyDescent="0.2">
      <c r="B1046" s="9"/>
      <c r="C1046" s="1"/>
      <c r="D1046" s="1"/>
    </row>
    <row r="1047" spans="2:4" x14ac:dyDescent="0.2">
      <c r="B1047" s="9"/>
      <c r="C1047" s="1"/>
      <c r="D1047" s="1"/>
    </row>
    <row r="1048" spans="2:4" x14ac:dyDescent="0.2">
      <c r="B1048" s="9"/>
      <c r="C1048" s="1"/>
      <c r="D1048" s="1"/>
    </row>
    <row r="1049" spans="2:4" x14ac:dyDescent="0.2">
      <c r="B1049" s="9"/>
      <c r="C1049" s="1"/>
      <c r="D1049" s="1"/>
    </row>
    <row r="1050" spans="2:4" x14ac:dyDescent="0.2">
      <c r="B1050" s="9"/>
      <c r="C1050" s="1"/>
      <c r="D1050" s="1"/>
    </row>
    <row r="1051" spans="2:4" x14ac:dyDescent="0.2">
      <c r="B1051" s="9"/>
      <c r="C1051" s="1"/>
      <c r="D1051" s="1"/>
    </row>
    <row r="1052" spans="2:4" x14ac:dyDescent="0.2">
      <c r="B1052" s="9"/>
      <c r="C1052" s="1"/>
      <c r="D1052" s="1"/>
    </row>
    <row r="1053" spans="2:4" x14ac:dyDescent="0.2">
      <c r="B1053" s="9"/>
      <c r="C1053" s="1"/>
      <c r="D1053" s="1"/>
    </row>
    <row r="1054" spans="2:4" x14ac:dyDescent="0.2">
      <c r="B1054" s="9"/>
      <c r="C1054" s="1"/>
      <c r="D1054" s="1"/>
    </row>
    <row r="1055" spans="2:4" x14ac:dyDescent="0.2">
      <c r="B1055" s="9"/>
      <c r="C1055" s="1"/>
      <c r="D1055" s="1"/>
    </row>
    <row r="1056" spans="2:4" x14ac:dyDescent="0.2">
      <c r="B1056" s="9"/>
      <c r="C1056" s="1"/>
      <c r="D1056" s="1"/>
    </row>
    <row r="1057" spans="2:4" x14ac:dyDescent="0.2">
      <c r="B1057" s="9"/>
      <c r="C1057" s="1"/>
      <c r="D1057" s="1"/>
    </row>
    <row r="1058" spans="2:4" x14ac:dyDescent="0.2">
      <c r="B1058" s="9"/>
      <c r="C1058" s="1"/>
      <c r="D1058" s="1"/>
    </row>
    <row r="1059" spans="2:4" x14ac:dyDescent="0.2">
      <c r="B1059" s="9"/>
      <c r="C1059" s="1"/>
      <c r="D1059" s="1"/>
    </row>
    <row r="1060" spans="2:4" x14ac:dyDescent="0.2">
      <c r="B1060" s="9"/>
      <c r="C1060" s="1"/>
      <c r="D1060" s="1"/>
    </row>
    <row r="1061" spans="2:4" x14ac:dyDescent="0.2">
      <c r="B1061" s="9"/>
      <c r="C1061" s="1"/>
      <c r="D1061" s="1"/>
    </row>
    <row r="1062" spans="2:4" x14ac:dyDescent="0.2">
      <c r="B1062" s="9"/>
      <c r="C1062" s="1"/>
      <c r="D1062" s="1"/>
    </row>
    <row r="1063" spans="2:4" x14ac:dyDescent="0.2">
      <c r="B1063" s="9"/>
      <c r="C1063" s="1"/>
      <c r="D1063" s="1"/>
    </row>
    <row r="1064" spans="2:4" x14ac:dyDescent="0.2">
      <c r="B1064" s="9"/>
      <c r="C1064" s="1"/>
      <c r="D1064" s="1"/>
    </row>
    <row r="1065" spans="2:4" x14ac:dyDescent="0.2">
      <c r="B1065" s="9"/>
      <c r="C1065" s="1"/>
      <c r="D1065" s="1"/>
    </row>
    <row r="1066" spans="2:4" x14ac:dyDescent="0.2">
      <c r="B1066" s="9"/>
      <c r="C1066" s="1"/>
      <c r="D1066" s="1"/>
    </row>
    <row r="1067" spans="2:4" x14ac:dyDescent="0.2">
      <c r="B1067" s="9"/>
      <c r="C1067" s="1"/>
      <c r="D1067" s="1"/>
    </row>
    <row r="1068" spans="2:4" x14ac:dyDescent="0.2">
      <c r="B1068" s="9"/>
      <c r="C1068" s="1"/>
      <c r="D1068" s="1"/>
    </row>
    <row r="1069" spans="2:4" x14ac:dyDescent="0.2">
      <c r="B1069" s="9"/>
      <c r="C1069" s="1"/>
      <c r="D1069" s="1"/>
    </row>
    <row r="1070" spans="2:4" x14ac:dyDescent="0.2">
      <c r="B1070" s="9"/>
      <c r="C1070" s="1"/>
      <c r="D1070" s="1"/>
    </row>
    <row r="1071" spans="2:4" x14ac:dyDescent="0.2">
      <c r="B1071" s="9"/>
      <c r="C1071" s="1"/>
      <c r="D1071" s="1"/>
    </row>
    <row r="1072" spans="2:4" x14ac:dyDescent="0.2">
      <c r="B1072" s="9"/>
      <c r="C1072" s="1"/>
      <c r="D1072" s="1"/>
    </row>
    <row r="1073" spans="2:4" x14ac:dyDescent="0.2">
      <c r="B1073" s="9"/>
      <c r="C1073" s="1"/>
      <c r="D1073" s="1"/>
    </row>
    <row r="1074" spans="2:4" x14ac:dyDescent="0.2">
      <c r="B1074" s="9"/>
      <c r="C1074" s="1"/>
      <c r="D1074" s="1"/>
    </row>
    <row r="1075" spans="2:4" x14ac:dyDescent="0.2">
      <c r="B1075" s="9"/>
      <c r="C1075" s="1"/>
      <c r="D1075" s="1"/>
    </row>
    <row r="1076" spans="2:4" x14ac:dyDescent="0.2">
      <c r="B1076" s="9"/>
      <c r="C1076" s="1"/>
      <c r="D1076" s="1"/>
    </row>
    <row r="1077" spans="2:4" x14ac:dyDescent="0.2">
      <c r="B1077" s="9"/>
      <c r="C1077" s="1"/>
      <c r="D1077" s="1"/>
    </row>
    <row r="1078" spans="2:4" x14ac:dyDescent="0.2">
      <c r="B1078" s="9"/>
      <c r="C1078" s="1"/>
      <c r="D1078" s="1"/>
    </row>
    <row r="1079" spans="2:4" x14ac:dyDescent="0.2">
      <c r="B1079" s="9"/>
      <c r="C1079" s="1"/>
      <c r="D1079" s="1"/>
    </row>
    <row r="1080" spans="2:4" x14ac:dyDescent="0.2">
      <c r="B1080" s="9"/>
      <c r="C1080" s="1"/>
      <c r="D1080" s="1"/>
    </row>
    <row r="1081" spans="2:4" x14ac:dyDescent="0.2">
      <c r="B1081" s="9"/>
      <c r="C1081" s="1"/>
      <c r="D1081" s="1"/>
    </row>
    <row r="1082" spans="2:4" x14ac:dyDescent="0.2">
      <c r="B1082" s="9"/>
      <c r="C1082" s="1"/>
      <c r="D1082" s="1"/>
    </row>
    <row r="1083" spans="2:4" x14ac:dyDescent="0.2">
      <c r="B1083" s="9"/>
      <c r="C1083" s="1"/>
      <c r="D1083" s="1"/>
    </row>
    <row r="1084" spans="2:4" x14ac:dyDescent="0.2">
      <c r="B1084" s="9"/>
      <c r="C1084" s="1"/>
      <c r="D1084" s="1"/>
    </row>
    <row r="1085" spans="2:4" x14ac:dyDescent="0.2">
      <c r="B1085" s="9"/>
      <c r="C1085" s="1"/>
      <c r="D1085" s="1"/>
    </row>
    <row r="1086" spans="2:4" x14ac:dyDescent="0.2">
      <c r="B1086" s="9"/>
      <c r="C1086" s="1"/>
      <c r="D1086" s="1"/>
    </row>
    <row r="1087" spans="2:4" x14ac:dyDescent="0.2">
      <c r="B1087" s="9"/>
      <c r="C1087" s="1"/>
      <c r="D1087" s="1"/>
    </row>
    <row r="1088" spans="2:4" x14ac:dyDescent="0.2">
      <c r="B1088" s="9"/>
      <c r="C1088" s="1"/>
      <c r="D1088" s="1"/>
    </row>
    <row r="1089" spans="2:4" x14ac:dyDescent="0.2">
      <c r="B1089" s="9"/>
      <c r="C1089" s="1"/>
      <c r="D1089" s="1"/>
    </row>
    <row r="1090" spans="2:4" x14ac:dyDescent="0.2">
      <c r="B1090" s="9"/>
      <c r="C1090" s="1"/>
      <c r="D1090" s="1"/>
    </row>
    <row r="1091" spans="2:4" x14ac:dyDescent="0.2">
      <c r="B1091" s="9"/>
      <c r="C1091" s="1"/>
      <c r="D1091" s="1"/>
    </row>
    <row r="1092" spans="2:4" x14ac:dyDescent="0.2">
      <c r="B1092" s="9"/>
      <c r="C1092" s="1"/>
      <c r="D1092" s="1"/>
    </row>
    <row r="1093" spans="2:4" x14ac:dyDescent="0.2">
      <c r="B1093" s="9"/>
      <c r="C1093" s="1"/>
      <c r="D1093" s="1"/>
    </row>
    <row r="1094" spans="2:4" x14ac:dyDescent="0.2">
      <c r="B1094" s="9"/>
      <c r="C1094" s="1"/>
      <c r="D1094" s="1"/>
    </row>
    <row r="1095" spans="2:4" x14ac:dyDescent="0.2">
      <c r="B1095" s="9"/>
      <c r="C1095" s="1"/>
      <c r="D1095" s="1"/>
    </row>
    <row r="1096" spans="2:4" x14ac:dyDescent="0.2">
      <c r="B1096" s="9"/>
      <c r="C1096" s="1"/>
      <c r="D1096" s="1"/>
    </row>
    <row r="1097" spans="2:4" x14ac:dyDescent="0.2">
      <c r="B1097" s="9"/>
      <c r="C1097" s="1"/>
      <c r="D1097" s="1"/>
    </row>
    <row r="1098" spans="2:4" x14ac:dyDescent="0.2">
      <c r="B1098" s="9"/>
      <c r="C1098" s="1"/>
      <c r="D1098" s="1"/>
    </row>
    <row r="1099" spans="2:4" x14ac:dyDescent="0.2">
      <c r="B1099" s="9"/>
      <c r="C1099" s="1"/>
      <c r="D1099" s="1"/>
    </row>
    <row r="1100" spans="2:4" x14ac:dyDescent="0.2">
      <c r="B1100" s="9"/>
      <c r="C1100" s="1"/>
      <c r="D1100" s="1"/>
    </row>
    <row r="1101" spans="2:4" x14ac:dyDescent="0.2">
      <c r="B1101" s="9"/>
      <c r="C1101" s="1"/>
      <c r="D1101" s="1"/>
    </row>
    <row r="1102" spans="2:4" x14ac:dyDescent="0.2">
      <c r="B1102" s="9"/>
      <c r="C1102" s="1"/>
      <c r="D1102" s="1"/>
    </row>
    <row r="1103" spans="2:4" x14ac:dyDescent="0.2">
      <c r="B1103" s="9"/>
      <c r="C1103" s="1"/>
      <c r="D1103" s="1"/>
    </row>
    <row r="1104" spans="2:4" x14ac:dyDescent="0.2">
      <c r="B1104" s="9"/>
      <c r="C1104" s="1"/>
      <c r="D1104" s="1"/>
    </row>
    <row r="1105" spans="2:4" x14ac:dyDescent="0.2">
      <c r="B1105" s="9"/>
      <c r="C1105" s="1"/>
      <c r="D1105" s="1"/>
    </row>
    <row r="1106" spans="2:4" x14ac:dyDescent="0.2">
      <c r="B1106" s="9"/>
      <c r="C1106" s="1"/>
      <c r="D1106" s="1"/>
    </row>
    <row r="1107" spans="2:4" x14ac:dyDescent="0.2">
      <c r="B1107" s="9"/>
      <c r="C1107" s="1"/>
      <c r="D1107" s="1"/>
    </row>
    <row r="1108" spans="2:4" x14ac:dyDescent="0.2">
      <c r="B1108" s="9"/>
      <c r="C1108" s="1"/>
      <c r="D1108" s="1"/>
    </row>
    <row r="1109" spans="2:4" x14ac:dyDescent="0.2">
      <c r="B1109" s="9"/>
      <c r="C1109" s="1"/>
      <c r="D1109" s="1"/>
    </row>
    <row r="1110" spans="2:4" x14ac:dyDescent="0.2">
      <c r="B1110" s="9"/>
      <c r="C1110" s="1"/>
      <c r="D1110" s="1"/>
    </row>
    <row r="1111" spans="2:4" x14ac:dyDescent="0.2">
      <c r="B1111" s="9"/>
      <c r="C1111" s="1"/>
      <c r="D1111" s="1"/>
    </row>
    <row r="1112" spans="2:4" x14ac:dyDescent="0.2">
      <c r="B1112" s="9"/>
      <c r="C1112" s="1"/>
      <c r="D1112" s="1"/>
    </row>
    <row r="1113" spans="2:4" x14ac:dyDescent="0.2">
      <c r="B1113" s="9"/>
      <c r="C1113" s="1"/>
      <c r="D1113" s="1"/>
    </row>
    <row r="1114" spans="2:4" x14ac:dyDescent="0.2">
      <c r="B1114" s="9"/>
      <c r="C1114" s="1"/>
      <c r="D1114" s="1"/>
    </row>
    <row r="1115" spans="2:4" x14ac:dyDescent="0.2">
      <c r="B1115" s="9"/>
      <c r="C1115" s="1"/>
      <c r="D1115" s="1"/>
    </row>
    <row r="1116" spans="2:4" x14ac:dyDescent="0.2">
      <c r="B1116" s="9"/>
      <c r="C1116" s="1"/>
      <c r="D1116" s="1"/>
    </row>
    <row r="1117" spans="2:4" x14ac:dyDescent="0.2">
      <c r="B1117" s="9"/>
      <c r="C1117" s="1"/>
      <c r="D1117" s="1"/>
    </row>
    <row r="1118" spans="2:4" x14ac:dyDescent="0.2">
      <c r="B1118" s="9"/>
      <c r="C1118" s="1"/>
      <c r="D1118" s="1"/>
    </row>
    <row r="1119" spans="2:4" x14ac:dyDescent="0.2">
      <c r="B1119" s="9"/>
      <c r="C1119" s="1"/>
      <c r="D1119" s="1"/>
    </row>
    <row r="1120" spans="2:4" x14ac:dyDescent="0.2">
      <c r="B1120" s="9"/>
      <c r="C1120" s="1"/>
      <c r="D1120" s="1"/>
    </row>
    <row r="1121" spans="2:4" x14ac:dyDescent="0.2">
      <c r="B1121" s="9"/>
      <c r="C1121" s="1"/>
      <c r="D1121" s="1"/>
    </row>
    <row r="1122" spans="2:4" x14ac:dyDescent="0.2">
      <c r="B1122" s="9"/>
      <c r="C1122" s="1"/>
      <c r="D1122" s="1"/>
    </row>
    <row r="1123" spans="2:4" x14ac:dyDescent="0.2">
      <c r="B1123" s="9"/>
      <c r="C1123" s="1"/>
      <c r="D1123" s="1"/>
    </row>
    <row r="1124" spans="2:4" x14ac:dyDescent="0.2">
      <c r="B1124" s="9"/>
      <c r="C1124" s="1"/>
      <c r="D1124" s="1"/>
    </row>
    <row r="1125" spans="2:4" x14ac:dyDescent="0.2">
      <c r="B1125" s="9"/>
      <c r="C1125" s="1"/>
      <c r="D1125" s="1"/>
    </row>
    <row r="1126" spans="2:4" x14ac:dyDescent="0.2">
      <c r="B1126" s="9"/>
      <c r="C1126" s="1"/>
      <c r="D1126" s="1"/>
    </row>
    <row r="1127" spans="2:4" x14ac:dyDescent="0.2">
      <c r="B1127" s="9"/>
      <c r="C1127" s="1"/>
      <c r="D1127" s="1"/>
    </row>
    <row r="1128" spans="2:4" x14ac:dyDescent="0.2">
      <c r="B1128" s="9"/>
      <c r="C1128" s="1"/>
      <c r="D1128" s="1"/>
    </row>
    <row r="1129" spans="2:4" x14ac:dyDescent="0.2">
      <c r="B1129" s="9"/>
      <c r="C1129" s="1"/>
      <c r="D1129" s="1"/>
    </row>
    <row r="1130" spans="2:4" x14ac:dyDescent="0.2">
      <c r="B1130" s="9"/>
      <c r="C1130" s="1"/>
      <c r="D1130" s="1"/>
    </row>
    <row r="1131" spans="2:4" x14ac:dyDescent="0.2">
      <c r="B1131" s="9"/>
      <c r="C1131" s="1"/>
      <c r="D1131" s="1"/>
    </row>
    <row r="1132" spans="2:4" x14ac:dyDescent="0.2">
      <c r="B1132" s="9"/>
      <c r="C1132" s="1"/>
      <c r="D1132" s="1"/>
    </row>
    <row r="1133" spans="2:4" x14ac:dyDescent="0.2">
      <c r="B1133" s="9"/>
      <c r="C1133" s="1"/>
      <c r="D1133" s="1"/>
    </row>
    <row r="1134" spans="2:4" x14ac:dyDescent="0.2">
      <c r="B1134" s="9"/>
      <c r="C1134" s="1"/>
      <c r="D1134" s="1"/>
    </row>
    <row r="1135" spans="2:4" x14ac:dyDescent="0.2">
      <c r="B1135" s="9"/>
      <c r="C1135" s="1"/>
      <c r="D1135" s="1"/>
    </row>
    <row r="1136" spans="2:4" x14ac:dyDescent="0.2">
      <c r="B1136" s="9"/>
      <c r="C1136" s="1"/>
      <c r="D1136" s="1"/>
    </row>
    <row r="1137" spans="2:4" x14ac:dyDescent="0.2">
      <c r="B1137" s="9"/>
      <c r="C1137" s="1"/>
      <c r="D1137" s="1"/>
    </row>
    <row r="1138" spans="2:4" x14ac:dyDescent="0.2">
      <c r="B1138" s="9"/>
      <c r="C1138" s="1"/>
      <c r="D1138" s="1"/>
    </row>
    <row r="1139" spans="2:4" x14ac:dyDescent="0.2">
      <c r="B1139" s="9"/>
      <c r="C1139" s="1"/>
      <c r="D1139" s="1"/>
    </row>
    <row r="1140" spans="2:4" x14ac:dyDescent="0.2">
      <c r="B1140" s="9"/>
      <c r="C1140" s="1"/>
      <c r="D1140" s="1"/>
    </row>
    <row r="1141" spans="2:4" x14ac:dyDescent="0.2">
      <c r="B1141" s="9"/>
      <c r="C1141" s="1"/>
      <c r="D1141" s="1"/>
    </row>
    <row r="1142" spans="2:4" x14ac:dyDescent="0.2">
      <c r="B1142" s="9"/>
      <c r="C1142" s="1"/>
      <c r="D1142" s="1"/>
    </row>
    <row r="1143" spans="2:4" x14ac:dyDescent="0.2">
      <c r="B1143" s="9"/>
      <c r="C1143" s="1"/>
      <c r="D1143" s="1"/>
    </row>
    <row r="1144" spans="2:4" x14ac:dyDescent="0.2">
      <c r="B1144" s="9"/>
      <c r="C1144" s="1"/>
      <c r="D1144" s="1"/>
    </row>
    <row r="1145" spans="2:4" x14ac:dyDescent="0.2">
      <c r="B1145" s="9"/>
      <c r="C1145" s="1"/>
      <c r="D1145" s="1"/>
    </row>
    <row r="1146" spans="2:4" x14ac:dyDescent="0.2">
      <c r="B1146" s="9"/>
      <c r="C1146" s="1"/>
      <c r="D1146" s="1"/>
    </row>
    <row r="1147" spans="2:4" x14ac:dyDescent="0.2">
      <c r="B1147" s="9"/>
      <c r="C1147" s="1"/>
      <c r="D1147" s="1"/>
    </row>
    <row r="1148" spans="2:4" x14ac:dyDescent="0.2">
      <c r="B1148" s="9"/>
      <c r="C1148" s="1"/>
      <c r="D1148" s="1"/>
    </row>
    <row r="1149" spans="2:4" x14ac:dyDescent="0.2">
      <c r="B1149" s="9"/>
      <c r="C1149" s="1"/>
      <c r="D1149" s="1"/>
    </row>
    <row r="1150" spans="2:4" x14ac:dyDescent="0.2">
      <c r="B1150" s="9"/>
      <c r="C1150" s="1"/>
      <c r="D1150" s="1"/>
    </row>
    <row r="1151" spans="2:4" x14ac:dyDescent="0.2">
      <c r="B1151" s="9"/>
      <c r="C1151" s="1"/>
      <c r="D1151" s="1"/>
    </row>
    <row r="1152" spans="2:4" x14ac:dyDescent="0.2">
      <c r="B1152" s="9"/>
      <c r="C1152" s="1"/>
      <c r="D1152" s="1"/>
    </row>
    <row r="1153" spans="2:4" x14ac:dyDescent="0.2">
      <c r="B1153" s="9"/>
      <c r="C1153" s="1"/>
      <c r="D1153" s="1"/>
    </row>
    <row r="1154" spans="2:4" x14ac:dyDescent="0.2">
      <c r="B1154" s="9"/>
      <c r="C1154" s="1"/>
      <c r="D1154" s="1"/>
    </row>
    <row r="1155" spans="2:4" x14ac:dyDescent="0.2">
      <c r="B1155" s="9"/>
      <c r="C1155" s="1"/>
      <c r="D1155" s="1"/>
    </row>
    <row r="1156" spans="2:4" x14ac:dyDescent="0.2">
      <c r="B1156" s="9"/>
      <c r="C1156" s="1"/>
      <c r="D1156" s="1"/>
    </row>
    <row r="1157" spans="2:4" x14ac:dyDescent="0.2">
      <c r="B1157" s="9"/>
      <c r="C1157" s="1"/>
      <c r="D1157" s="1"/>
    </row>
    <row r="1158" spans="2:4" x14ac:dyDescent="0.2">
      <c r="B1158" s="9"/>
      <c r="C1158" s="1"/>
      <c r="D1158" s="1"/>
    </row>
    <row r="1159" spans="2:4" x14ac:dyDescent="0.2">
      <c r="B1159" s="9"/>
      <c r="C1159" s="1"/>
      <c r="D1159" s="1"/>
    </row>
    <row r="1160" spans="2:4" x14ac:dyDescent="0.2">
      <c r="B1160" s="9"/>
      <c r="C1160" s="1"/>
      <c r="D1160" s="1"/>
    </row>
    <row r="1161" spans="2:4" x14ac:dyDescent="0.2">
      <c r="B1161" s="9"/>
      <c r="C1161" s="1"/>
      <c r="D1161" s="1"/>
    </row>
    <row r="1162" spans="2:4" x14ac:dyDescent="0.2">
      <c r="B1162" s="9"/>
      <c r="C1162" s="1"/>
      <c r="D1162" s="1"/>
    </row>
    <row r="1163" spans="2:4" x14ac:dyDescent="0.2">
      <c r="B1163" s="9"/>
      <c r="C1163" s="1"/>
      <c r="D1163" s="1"/>
    </row>
    <row r="1164" spans="2:4" x14ac:dyDescent="0.2">
      <c r="B1164" s="9"/>
      <c r="C1164" s="1"/>
      <c r="D1164" s="1"/>
    </row>
    <row r="1165" spans="2:4" x14ac:dyDescent="0.2">
      <c r="B1165" s="9"/>
      <c r="C1165" s="1"/>
      <c r="D1165" s="1"/>
    </row>
    <row r="1166" spans="2:4" x14ac:dyDescent="0.2">
      <c r="B1166" s="9"/>
      <c r="C1166" s="1"/>
      <c r="D1166" s="1"/>
    </row>
    <row r="1167" spans="2:4" x14ac:dyDescent="0.2">
      <c r="B1167" s="9"/>
      <c r="C1167" s="1"/>
      <c r="D1167" s="1"/>
    </row>
    <row r="1168" spans="2:4" x14ac:dyDescent="0.2">
      <c r="B1168" s="9"/>
      <c r="C1168" s="1"/>
      <c r="D1168" s="1"/>
    </row>
    <row r="1169" spans="2:4" x14ac:dyDescent="0.2">
      <c r="B1169" s="9"/>
      <c r="C1169" s="1"/>
      <c r="D1169" s="1"/>
    </row>
    <row r="1170" spans="2:4" x14ac:dyDescent="0.2">
      <c r="B1170" s="9"/>
      <c r="C1170" s="1"/>
      <c r="D1170" s="1"/>
    </row>
    <row r="1171" spans="2:4" x14ac:dyDescent="0.2">
      <c r="B1171" s="9"/>
      <c r="C1171" s="1"/>
      <c r="D1171" s="1"/>
    </row>
    <row r="1172" spans="2:4" x14ac:dyDescent="0.2">
      <c r="B1172" s="9"/>
      <c r="C1172" s="1"/>
      <c r="D1172" s="1"/>
    </row>
    <row r="1173" spans="2:4" x14ac:dyDescent="0.2">
      <c r="B1173" s="9"/>
      <c r="C1173" s="1"/>
      <c r="D1173" s="1"/>
    </row>
    <row r="1174" spans="2:4" x14ac:dyDescent="0.2">
      <c r="B1174" s="9"/>
      <c r="C1174" s="1"/>
      <c r="D1174" s="1"/>
    </row>
    <row r="1175" spans="2:4" x14ac:dyDescent="0.2">
      <c r="B1175" s="9"/>
      <c r="C1175" s="1"/>
      <c r="D1175" s="1"/>
    </row>
    <row r="1176" spans="2:4" x14ac:dyDescent="0.2">
      <c r="B1176" s="9"/>
      <c r="C1176" s="1"/>
      <c r="D1176" s="1"/>
    </row>
    <row r="1177" spans="2:4" x14ac:dyDescent="0.2">
      <c r="B1177" s="9"/>
      <c r="C1177" s="1"/>
      <c r="D1177" s="1"/>
    </row>
    <row r="1178" spans="2:4" x14ac:dyDescent="0.2">
      <c r="B1178" s="9"/>
      <c r="C1178" s="1"/>
      <c r="D1178" s="1"/>
    </row>
    <row r="1179" spans="2:4" x14ac:dyDescent="0.2">
      <c r="B1179" s="9"/>
      <c r="C1179" s="1"/>
      <c r="D1179" s="1"/>
    </row>
    <row r="1180" spans="2:4" x14ac:dyDescent="0.2">
      <c r="B1180" s="9"/>
      <c r="C1180" s="1"/>
      <c r="D1180" s="1"/>
    </row>
    <row r="1181" spans="2:4" x14ac:dyDescent="0.2">
      <c r="B1181" s="9"/>
      <c r="C1181" s="1"/>
      <c r="D1181" s="1"/>
    </row>
    <row r="1182" spans="2:4" x14ac:dyDescent="0.2">
      <c r="B1182" s="9"/>
      <c r="C1182" s="1"/>
      <c r="D1182" s="1"/>
    </row>
    <row r="1183" spans="2:4" x14ac:dyDescent="0.2">
      <c r="B1183" s="9"/>
      <c r="C1183" s="1"/>
      <c r="D1183" s="1"/>
    </row>
    <row r="1184" spans="2:4" x14ac:dyDescent="0.2">
      <c r="B1184" s="9"/>
      <c r="C1184" s="1"/>
      <c r="D1184" s="1"/>
    </row>
    <row r="1185" spans="2:4" x14ac:dyDescent="0.2">
      <c r="B1185" s="9"/>
      <c r="C1185" s="1"/>
      <c r="D1185" s="1"/>
    </row>
    <row r="1186" spans="2:4" x14ac:dyDescent="0.2">
      <c r="B1186" s="9"/>
      <c r="C1186" s="1"/>
      <c r="D1186" s="1"/>
    </row>
    <row r="1187" spans="2:4" x14ac:dyDescent="0.2">
      <c r="B1187" s="9"/>
      <c r="C1187" s="1"/>
      <c r="D1187" s="1"/>
    </row>
    <row r="1188" spans="2:4" x14ac:dyDescent="0.2">
      <c r="B1188" s="9"/>
      <c r="C1188" s="1"/>
      <c r="D1188" s="1"/>
    </row>
    <row r="1189" spans="2:4" x14ac:dyDescent="0.2">
      <c r="B1189" s="9"/>
      <c r="C1189" s="1"/>
      <c r="D1189" s="1"/>
    </row>
    <row r="1190" spans="2:4" x14ac:dyDescent="0.2">
      <c r="B1190" s="9"/>
      <c r="C1190" s="1"/>
      <c r="D1190" s="1"/>
    </row>
    <row r="1191" spans="2:4" x14ac:dyDescent="0.2">
      <c r="B1191" s="9"/>
      <c r="C1191" s="1"/>
      <c r="D1191" s="1"/>
    </row>
    <row r="1192" spans="2:4" x14ac:dyDescent="0.2">
      <c r="B1192" s="9"/>
      <c r="C1192" s="1"/>
      <c r="D1192" s="1"/>
    </row>
    <row r="1193" spans="2:4" x14ac:dyDescent="0.2">
      <c r="B1193" s="9"/>
      <c r="C1193" s="1"/>
      <c r="D1193" s="1"/>
    </row>
    <row r="1194" spans="2:4" x14ac:dyDescent="0.2">
      <c r="B1194" s="9"/>
      <c r="C1194" s="1"/>
      <c r="D1194" s="1"/>
    </row>
    <row r="1195" spans="2:4" x14ac:dyDescent="0.2">
      <c r="B1195" s="9"/>
      <c r="C1195" s="1"/>
      <c r="D1195" s="1"/>
    </row>
    <row r="1196" spans="2:4" x14ac:dyDescent="0.2">
      <c r="B1196" s="9"/>
      <c r="C1196" s="1"/>
      <c r="D1196" s="1"/>
    </row>
    <row r="1197" spans="2:4" x14ac:dyDescent="0.2">
      <c r="B1197" s="9"/>
      <c r="C1197" s="1"/>
      <c r="D1197" s="1"/>
    </row>
    <row r="1198" spans="2:4" x14ac:dyDescent="0.2">
      <c r="B1198" s="9"/>
      <c r="C1198" s="1"/>
      <c r="D1198" s="1"/>
    </row>
    <row r="1199" spans="2:4" x14ac:dyDescent="0.2">
      <c r="B1199" s="9"/>
      <c r="C1199" s="1"/>
      <c r="D1199" s="1"/>
    </row>
    <row r="1200" spans="2:4" x14ac:dyDescent="0.2">
      <c r="B1200" s="9"/>
      <c r="C1200" s="1"/>
      <c r="D1200" s="1"/>
    </row>
    <row r="1201" spans="2:4" x14ac:dyDescent="0.2">
      <c r="B1201" s="9"/>
      <c r="C1201" s="1"/>
      <c r="D1201" s="1"/>
    </row>
    <row r="1202" spans="2:4" x14ac:dyDescent="0.2">
      <c r="B1202" s="9"/>
      <c r="C1202" s="1"/>
      <c r="D1202" s="1"/>
    </row>
    <row r="1203" spans="2:4" x14ac:dyDescent="0.2">
      <c r="B1203" s="9"/>
      <c r="C1203" s="1"/>
      <c r="D1203" s="1"/>
    </row>
    <row r="1204" spans="2:4" x14ac:dyDescent="0.2">
      <c r="B1204" s="9"/>
      <c r="C1204" s="1"/>
      <c r="D1204" s="1"/>
    </row>
    <row r="1205" spans="2:4" x14ac:dyDescent="0.2">
      <c r="B1205" s="9"/>
      <c r="C1205" s="1"/>
      <c r="D1205" s="1"/>
    </row>
    <row r="1206" spans="2:4" x14ac:dyDescent="0.2">
      <c r="B1206" s="9"/>
      <c r="C1206" s="1"/>
      <c r="D1206" s="1"/>
    </row>
  </sheetData>
  <mergeCells count="10">
    <mergeCell ref="M4:O4"/>
    <mergeCell ref="D5:F5"/>
    <mergeCell ref="H1:J1"/>
    <mergeCell ref="H2:J2"/>
    <mergeCell ref="H3:J3"/>
    <mergeCell ref="H4:J4"/>
    <mergeCell ref="D1:F1"/>
    <mergeCell ref="D2:F2"/>
    <mergeCell ref="D3:F3"/>
    <mergeCell ref="D4:F4"/>
  </mergeCells>
  <phoneticPr fontId="6" type="noConversion"/>
  <dataValidations count="1">
    <dataValidation type="list" allowBlank="1" showInputMessage="1" showErrorMessage="1" sqref="M4" xr:uid="{DEDA62CF-127C-44FD-BFDC-050476FEA340}">
      <formula1>$V$1:$V$4</formula1>
    </dataValidation>
  </dataValidations>
  <printOptions gridLinesSet="0"/>
  <pageMargins left="0.46" right="0.67" top="0.46" bottom="0.28000000000000003" header="0.59" footer="0.31"/>
  <pageSetup scale="28" fitToHeight="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Drop Down 2">
              <controlPr locked="0" defaultSize="0" print="0" autoFill="0" autoLine="0" autoPict="0">
                <anchor moveWithCells="1">
                  <from>
                    <xdr:col>13</xdr:col>
                    <xdr:colOff>19050</xdr:colOff>
                    <xdr:row>0</xdr:row>
                    <xdr:rowOff>0</xdr:rowOff>
                  </from>
                  <to>
                    <xdr:col>15</xdr:col>
                    <xdr:colOff>495300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4D379-693B-4E8A-9215-285DCFDC400D}">
  <sheetPr codeName="Sheet4"/>
  <dimension ref="A1:AK63"/>
  <sheetViews>
    <sheetView tabSelected="1" topLeftCell="A11" zoomScale="80" zoomScaleNormal="80" workbookViewId="0">
      <selection activeCell="A4" sqref="A4:P5"/>
    </sheetView>
  </sheetViews>
  <sheetFormatPr defaultRowHeight="24" customHeight="1" x14ac:dyDescent="0.2"/>
  <cols>
    <col min="2" max="2" width="25.42578125" customWidth="1"/>
    <col min="3" max="3" width="35.5703125" customWidth="1"/>
    <col min="4" max="4" width="34.28515625" customWidth="1"/>
    <col min="5" max="5" width="11.28515625" customWidth="1"/>
    <col min="6" max="6" width="17.85546875" customWidth="1"/>
    <col min="7" max="16" width="15.7109375" customWidth="1"/>
    <col min="17" max="17" width="18.7109375" customWidth="1"/>
    <col min="18" max="18" width="45.140625" hidden="1" customWidth="1"/>
    <col min="19" max="19" width="0.140625" hidden="1" customWidth="1"/>
    <col min="20" max="20" width="6.140625" customWidth="1"/>
    <col min="21" max="21" width="10.140625" hidden="1" customWidth="1"/>
    <col min="22" max="22" width="22.42578125" hidden="1" customWidth="1"/>
    <col min="23" max="23" width="23.5703125" hidden="1" customWidth="1"/>
    <col min="24" max="24" width="20.140625" hidden="1" customWidth="1"/>
    <col min="25" max="25" width="22.7109375" hidden="1" customWidth="1"/>
    <col min="26" max="26" width="16.42578125" hidden="1" customWidth="1"/>
    <col min="27" max="27" width="8" hidden="1" customWidth="1"/>
    <col min="28" max="28" width="11.28515625" hidden="1" customWidth="1"/>
    <col min="29" max="29" width="18.140625" customWidth="1"/>
    <col min="30" max="30" width="2.85546875" customWidth="1"/>
    <col min="31" max="31" width="11.42578125" hidden="1" customWidth="1"/>
    <col min="32" max="32" width="9.28515625" hidden="1" customWidth="1"/>
    <col min="33" max="37" width="9.140625" hidden="1" customWidth="1"/>
  </cols>
  <sheetData>
    <row r="1" spans="1:30" ht="8.25" hidden="1" customHeight="1" thickTop="1" thickBot="1" x14ac:dyDescent="0.3">
      <c r="A1" s="52" t="s">
        <v>13</v>
      </c>
      <c r="B1" s="53" t="s">
        <v>14</v>
      </c>
      <c r="C1" s="54" t="s">
        <v>15</v>
      </c>
      <c r="D1" s="55"/>
      <c r="E1" s="56" t="s">
        <v>16</v>
      </c>
      <c r="F1" s="55" t="s">
        <v>17</v>
      </c>
      <c r="G1" s="54" t="s">
        <v>18</v>
      </c>
      <c r="H1" s="57" t="s">
        <v>19</v>
      </c>
      <c r="I1" s="57"/>
      <c r="J1" s="57"/>
      <c r="K1" s="58"/>
      <c r="L1" s="57" t="s">
        <v>20</v>
      </c>
      <c r="M1" s="58"/>
      <c r="N1" s="55" t="s">
        <v>21</v>
      </c>
      <c r="O1" s="54" t="s">
        <v>22</v>
      </c>
      <c r="P1" s="59" t="s">
        <v>23</v>
      </c>
      <c r="S1" s="60" t="s">
        <v>4</v>
      </c>
      <c r="T1" s="212" t="str">
        <f>Surveys!D4 &amp; " - " &amp; Surveys!D2</f>
        <v>Primo #9 - Casper State 57-1-47-11 M 74HA</v>
      </c>
      <c r="U1" s="213"/>
      <c r="V1" s="213"/>
      <c r="W1" s="213"/>
      <c r="X1" s="214"/>
      <c r="Y1" s="101" t="s">
        <v>71</v>
      </c>
      <c r="Z1" s="102"/>
      <c r="AA1" s="103"/>
      <c r="AB1" s="104"/>
      <c r="AC1" s="104"/>
      <c r="AD1" s="105" t="s">
        <v>72</v>
      </c>
    </row>
    <row r="2" spans="1:30" ht="24" hidden="1" customHeight="1" thickBot="1" x14ac:dyDescent="0.25">
      <c r="A2" s="61" t="s">
        <v>24</v>
      </c>
      <c r="B2" s="62" t="s">
        <v>25</v>
      </c>
      <c r="C2" s="63" t="s">
        <v>26</v>
      </c>
      <c r="D2" s="64" t="s">
        <v>27</v>
      </c>
      <c r="E2" s="65" t="s">
        <v>28</v>
      </c>
      <c r="F2" s="64" t="s">
        <v>25</v>
      </c>
      <c r="G2" s="63" t="s">
        <v>29</v>
      </c>
      <c r="H2" s="64" t="s">
        <v>30</v>
      </c>
      <c r="I2" s="66"/>
      <c r="J2" s="64" t="s">
        <v>31</v>
      </c>
      <c r="K2" s="66"/>
      <c r="L2" s="66" t="s">
        <v>32</v>
      </c>
      <c r="M2" s="66" t="s">
        <v>33</v>
      </c>
      <c r="N2" s="64" t="s">
        <v>34</v>
      </c>
      <c r="O2" s="63" t="s">
        <v>35</v>
      </c>
      <c r="P2" s="67" t="s">
        <v>35</v>
      </c>
      <c r="S2" s="68"/>
      <c r="T2" s="68" t="s">
        <v>51</v>
      </c>
      <c r="U2" s="68"/>
      <c r="V2" s="68"/>
      <c r="W2" s="68"/>
      <c r="X2" s="68"/>
      <c r="Y2" s="106"/>
      <c r="AA2" s="90"/>
      <c r="AD2" s="107" t="s">
        <v>73</v>
      </c>
    </row>
    <row r="3" spans="1:30" ht="24" hidden="1" customHeight="1" thickBot="1" x14ac:dyDescent="0.25">
      <c r="A3" s="69"/>
      <c r="B3" s="70" t="s">
        <v>36</v>
      </c>
      <c r="C3" s="71" t="s">
        <v>37</v>
      </c>
      <c r="D3" s="72" t="s">
        <v>37</v>
      </c>
      <c r="E3" s="73" t="s">
        <v>36</v>
      </c>
      <c r="F3" s="72" t="s">
        <v>36</v>
      </c>
      <c r="G3" s="71" t="s">
        <v>36</v>
      </c>
      <c r="H3" s="72" t="s">
        <v>36</v>
      </c>
      <c r="I3" s="74"/>
      <c r="J3" s="72" t="s">
        <v>36</v>
      </c>
      <c r="K3" s="74"/>
      <c r="L3" s="74" t="s">
        <v>36</v>
      </c>
      <c r="M3" s="74" t="s">
        <v>27</v>
      </c>
      <c r="N3" s="72" t="s">
        <v>38</v>
      </c>
      <c r="O3" s="71" t="s">
        <v>38</v>
      </c>
      <c r="P3" s="75" t="s">
        <v>38</v>
      </c>
      <c r="S3" s="68"/>
      <c r="T3" s="68" t="s">
        <v>52</v>
      </c>
      <c r="U3" s="68"/>
      <c r="V3" s="68"/>
      <c r="W3" s="68"/>
      <c r="X3" s="68"/>
      <c r="Y3" s="106" t="str">
        <f>AD1 &amp; " " &amp; C24 &amp; "  " &amp; AD2 &amp; "  " &amp; C25 &amp; " " &amp; AD3 &amp; "  " &amp; C26 &amp; "  " &amp; AD4 &amp; "  " &amp; C27 &amp; "  " &amp; AD5 &amp; "  " &amp; C29</f>
        <v xml:space="preserve"> Survey @  2429'   INC:   0.74°  AZM:   244.52°   TVD:   2428.85'  DLS:  0.34°</v>
      </c>
      <c r="AD3" s="107" t="s">
        <v>74</v>
      </c>
    </row>
    <row r="4" spans="1:30" ht="24" hidden="1" customHeight="1" thickBot="1" x14ac:dyDescent="0.25">
      <c r="A4" s="48">
        <v>171</v>
      </c>
      <c r="B4" s="2">
        <v>2429</v>
      </c>
      <c r="C4" s="51">
        <v>0.74</v>
      </c>
      <c r="D4" s="51">
        <v>244.52</v>
      </c>
      <c r="E4" s="14">
        <v>15</v>
      </c>
      <c r="F4" s="47">
        <v>2428.8452269737932</v>
      </c>
      <c r="G4" s="47">
        <v>0.35700172837703315</v>
      </c>
      <c r="H4" s="49">
        <v>0.35700172837703237</v>
      </c>
      <c r="I4" s="50" t="s">
        <v>39</v>
      </c>
      <c r="J4" s="49">
        <v>9.1631165469482241</v>
      </c>
      <c r="K4" s="50" t="s">
        <v>129</v>
      </c>
      <c r="L4" s="47">
        <v>9.1700684341514336</v>
      </c>
      <c r="M4" s="47">
        <v>272.23115704903017</v>
      </c>
      <c r="N4" s="47">
        <v>0.33757989491657098</v>
      </c>
      <c r="O4" s="47">
        <v>-0.33333333333333365</v>
      </c>
      <c r="P4" s="47">
        <v>-3.9999999999999623</v>
      </c>
      <c r="S4" s="68"/>
      <c r="T4" s="68" t="s">
        <v>53</v>
      </c>
      <c r="U4" s="68"/>
      <c r="V4" s="68"/>
      <c r="W4" s="68"/>
      <c r="X4" s="68"/>
      <c r="Y4" s="108"/>
      <c r="Z4" s="109"/>
      <c r="AA4" s="109"/>
      <c r="AB4" s="109"/>
      <c r="AC4" s="109"/>
      <c r="AD4" s="110" t="s">
        <v>75</v>
      </c>
    </row>
    <row r="5" spans="1:30" ht="24" hidden="1" customHeight="1" thickTop="1" thickBot="1" x14ac:dyDescent="0.25">
      <c r="A5" s="76" t="s">
        <v>130</v>
      </c>
      <c r="B5" s="2">
        <v>2515</v>
      </c>
      <c r="C5" s="51">
        <v>0.74</v>
      </c>
      <c r="D5" s="51">
        <v>244.52</v>
      </c>
      <c r="E5" s="14">
        <v>86</v>
      </c>
      <c r="F5" s="47">
        <v>2514.8380543080389</v>
      </c>
      <c r="G5" s="47">
        <v>-0.12081554030195628</v>
      </c>
      <c r="H5" s="49">
        <v>0.12081554030195418</v>
      </c>
      <c r="I5" s="50" t="s">
        <v>132</v>
      </c>
      <c r="J5" s="49">
        <v>10.165781855190325</v>
      </c>
      <c r="K5" s="50" t="s">
        <v>129</v>
      </c>
      <c r="L5" s="47">
        <v>10.166499747803828</v>
      </c>
      <c r="M5" s="47">
        <v>269.31909864069235</v>
      </c>
      <c r="N5" s="47">
        <v>0</v>
      </c>
      <c r="O5" s="47">
        <v>0</v>
      </c>
      <c r="P5" s="47">
        <v>0</v>
      </c>
      <c r="S5" s="68"/>
      <c r="T5" s="68" t="s">
        <v>54</v>
      </c>
      <c r="U5" s="68"/>
      <c r="V5" s="68"/>
      <c r="W5" s="68"/>
      <c r="X5" s="68"/>
      <c r="AD5" s="77" t="s">
        <v>66</v>
      </c>
    </row>
    <row r="6" spans="1:30" ht="24" hidden="1" customHeight="1" thickBot="1" x14ac:dyDescent="0.25">
      <c r="S6" s="68"/>
      <c r="T6" s="68" t="s">
        <v>55</v>
      </c>
      <c r="U6" s="68"/>
      <c r="V6" s="68"/>
      <c r="W6" s="68"/>
      <c r="X6" s="68"/>
    </row>
    <row r="7" spans="1:30" ht="24" hidden="1" customHeight="1" thickBot="1" x14ac:dyDescent="0.25">
      <c r="A7" s="77" t="s">
        <v>56</v>
      </c>
      <c r="B7" s="77"/>
      <c r="C7" s="77"/>
      <c r="D7" s="77"/>
      <c r="E7" s="77"/>
      <c r="F7" s="77"/>
      <c r="G7" s="77"/>
      <c r="H7" s="77"/>
      <c r="I7" s="77"/>
      <c r="J7" s="77"/>
      <c r="S7" s="68"/>
      <c r="T7" s="68" t="s">
        <v>57</v>
      </c>
      <c r="U7" s="68"/>
      <c r="V7" s="68"/>
      <c r="W7" s="68"/>
      <c r="X7" s="68"/>
    </row>
    <row r="8" spans="1:30" ht="24" hidden="1" customHeight="1" thickBot="1" x14ac:dyDescent="0.25">
      <c r="S8" s="68"/>
      <c r="T8" s="68"/>
      <c r="U8" s="68"/>
      <c r="V8" s="68"/>
      <c r="W8" s="68"/>
      <c r="X8" s="68"/>
    </row>
    <row r="9" spans="1:30" ht="24" hidden="1" customHeight="1" thickTop="1" thickBot="1" x14ac:dyDescent="0.25">
      <c r="S9" s="215" t="s">
        <v>58</v>
      </c>
      <c r="T9" s="216"/>
      <c r="U9" s="216"/>
      <c r="V9" s="216"/>
      <c r="W9" s="216"/>
      <c r="X9" s="217"/>
    </row>
    <row r="10" spans="1:30" ht="24" hidden="1" customHeight="1" thickTop="1" thickBot="1" x14ac:dyDescent="0.25"/>
    <row r="11" spans="1:30" ht="24" customHeight="1" thickTop="1" thickBot="1" x14ac:dyDescent="0.25">
      <c r="A11" s="97" t="s">
        <v>59</v>
      </c>
      <c r="B11" s="98" t="str">
        <f>CONCATENATE(T1,T2,C24,T3,C25,T4,C26,T5,C27,T6,C28,T7,C29)</f>
        <v>Primo #9 - Casper State 57-1-47-11 M 74HA | Survey Depth: 2429' | Inc: 0.74° | Azm: 244.52° | TVD: 2428.85' | VSEC:  0.36' | DLS: 0.34°</v>
      </c>
      <c r="C11" s="99"/>
      <c r="D11" s="99"/>
      <c r="E11" s="99"/>
      <c r="F11" s="99"/>
      <c r="G11" s="99"/>
      <c r="H11" s="99"/>
      <c r="I11" s="99"/>
      <c r="J11" s="99"/>
      <c r="K11" s="99"/>
      <c r="L11" s="99"/>
      <c r="M11" s="99"/>
      <c r="N11" s="100"/>
    </row>
    <row r="12" spans="1:30" ht="24" customHeight="1" thickTop="1" x14ac:dyDescent="0.2">
      <c r="A12" s="132"/>
      <c r="B12" s="132"/>
      <c r="C12" s="132"/>
      <c r="D12" s="132"/>
      <c r="E12" s="132"/>
      <c r="F12" s="132"/>
      <c r="G12" s="132"/>
      <c r="H12" s="132"/>
      <c r="I12" s="132"/>
      <c r="J12" s="157"/>
      <c r="K12" s="158"/>
      <c r="L12" s="132"/>
      <c r="M12" s="132"/>
    </row>
    <row r="13" spans="1:30" ht="24" customHeight="1" x14ac:dyDescent="0.2">
      <c r="A13" s="134"/>
      <c r="B13" s="241"/>
      <c r="C13" s="241"/>
      <c r="D13" s="132"/>
      <c r="E13" s="132"/>
      <c r="F13" s="132"/>
      <c r="G13" s="132"/>
      <c r="H13" s="132"/>
      <c r="I13" s="132"/>
      <c r="J13" s="132"/>
      <c r="K13" s="132"/>
      <c r="L13" s="132"/>
      <c r="M13" s="132"/>
    </row>
    <row r="14" spans="1:30" ht="24" customHeight="1" x14ac:dyDescent="0.2">
      <c r="A14" s="132"/>
      <c r="B14" s="241"/>
      <c r="C14" s="241"/>
      <c r="D14" s="132"/>
      <c r="E14" s="133"/>
      <c r="F14" s="132"/>
      <c r="G14" s="132"/>
      <c r="H14" s="132"/>
      <c r="I14" s="132"/>
      <c r="J14" s="160"/>
      <c r="K14" s="132"/>
      <c r="L14" s="132"/>
      <c r="M14" s="132"/>
    </row>
    <row r="15" spans="1:30" ht="24" customHeight="1" thickBot="1" x14ac:dyDescent="0.25">
      <c r="A15" s="132"/>
      <c r="B15" s="241"/>
      <c r="C15" s="241"/>
      <c r="D15" s="132"/>
      <c r="E15" s="132"/>
      <c r="F15" s="132"/>
      <c r="G15" s="132"/>
      <c r="H15" s="132"/>
      <c r="I15" s="132"/>
      <c r="J15" s="132"/>
      <c r="K15" s="132"/>
      <c r="L15" s="132"/>
      <c r="M15" s="132"/>
    </row>
    <row r="16" spans="1:30" ht="24" customHeight="1" thickBot="1" x14ac:dyDescent="0.25">
      <c r="A16" s="132"/>
      <c r="B16" s="132"/>
      <c r="C16" s="136" t="s">
        <v>89</v>
      </c>
      <c r="D16" s="191" t="s">
        <v>133</v>
      </c>
      <c r="E16" s="132"/>
      <c r="F16" s="233" t="s">
        <v>88</v>
      </c>
      <c r="G16" s="234"/>
      <c r="H16" s="234"/>
      <c r="I16" s="235"/>
      <c r="J16" s="132"/>
      <c r="K16" s="132"/>
      <c r="L16" s="132"/>
      <c r="M16" s="132"/>
      <c r="Y16" s="93"/>
      <c r="Z16" s="94"/>
    </row>
    <row r="17" spans="1:32" ht="24" customHeight="1" thickBot="1" x14ac:dyDescent="0.25">
      <c r="A17" s="242" t="s">
        <v>90</v>
      </c>
      <c r="B17" s="243"/>
      <c r="C17" s="243"/>
      <c r="D17" s="244"/>
      <c r="E17" s="132"/>
      <c r="F17" s="236" t="str">
        <f>AD1 &amp; "  " &amp; C24 &amp; "  " &amp; AD2 &amp; "  " &amp; C25 &amp; "  " &amp; AD3 &amp; "  " &amp; C26 &amp; "  " &amp; AD4 &amp; " " &amp; C27 &amp; "  " &amp; AD5 &amp; "  " &amp; C29</f>
        <v xml:space="preserve"> Survey @   2429'   INC:   0.74°   AZM:   244.52°   TVD:  2428.85'  DLS:  0.34°</v>
      </c>
      <c r="G17" s="237"/>
      <c r="H17" s="237"/>
      <c r="I17" s="238"/>
      <c r="J17" s="158"/>
      <c r="K17" s="158"/>
      <c r="L17" s="132"/>
      <c r="M17" s="132"/>
      <c r="Y17" s="95"/>
      <c r="Z17" s="94"/>
    </row>
    <row r="18" spans="1:32" ht="24" customHeight="1" thickBot="1" x14ac:dyDescent="0.25">
      <c r="A18" s="245"/>
      <c r="B18" s="246"/>
      <c r="C18" s="246"/>
      <c r="D18" s="247"/>
      <c r="E18" s="132"/>
      <c r="F18" s="248"/>
      <c r="G18" s="248"/>
      <c r="H18" s="248"/>
      <c r="I18" s="248"/>
      <c r="J18" s="158"/>
      <c r="K18" s="158"/>
      <c r="L18" s="132"/>
      <c r="M18" s="132"/>
    </row>
    <row r="19" spans="1:32" ht="24" customHeight="1" thickBot="1" x14ac:dyDescent="0.25">
      <c r="A19" s="132"/>
      <c r="B19" s="132"/>
      <c r="C19" s="132"/>
      <c r="D19" s="132"/>
      <c r="E19" s="132"/>
      <c r="F19" s="249"/>
      <c r="G19" s="249"/>
      <c r="H19" s="249"/>
      <c r="I19" s="249"/>
      <c r="J19" s="132"/>
      <c r="K19" s="132"/>
      <c r="L19" s="132"/>
      <c r="M19" s="132"/>
    </row>
    <row r="20" spans="1:32" ht="20.100000000000001" customHeight="1" thickBot="1" x14ac:dyDescent="0.25">
      <c r="A20" s="132"/>
      <c r="B20" s="218" t="s">
        <v>125</v>
      </c>
      <c r="C20" s="219"/>
      <c r="D20" s="220"/>
      <c r="E20" s="132"/>
      <c r="F20" s="192" t="s">
        <v>113</v>
      </c>
      <c r="G20" s="120" t="s">
        <v>18</v>
      </c>
      <c r="H20" s="227" t="s">
        <v>91</v>
      </c>
      <c r="I20" s="228"/>
      <c r="J20" s="132"/>
      <c r="K20" s="132"/>
      <c r="L20" s="132"/>
      <c r="M20" s="132"/>
    </row>
    <row r="21" spans="1:32" ht="20.100000000000001" customHeight="1" thickBot="1" x14ac:dyDescent="0.25">
      <c r="A21" s="132"/>
      <c r="B21" s="221" t="str">
        <f>T1</f>
        <v>Primo #9 - Casper State 57-1-47-11 M 74HA</v>
      </c>
      <c r="C21" s="222"/>
      <c r="D21" s="223"/>
      <c r="E21" s="132"/>
      <c r="F21" s="112" t="s">
        <v>77</v>
      </c>
      <c r="G21" s="123">
        <v>1</v>
      </c>
      <c r="H21" s="229"/>
      <c r="I21" s="230"/>
      <c r="J21" s="132"/>
      <c r="K21" s="132"/>
      <c r="L21" s="132"/>
      <c r="M21" s="132"/>
    </row>
    <row r="22" spans="1:32" ht="20.100000000000001" customHeight="1" thickBot="1" x14ac:dyDescent="0.25">
      <c r="A22" s="132"/>
      <c r="B22" s="224" t="str">
        <f>CONCATENATE(F21," ",G21, " / ",G20)</f>
        <v>Current Plan: # 1 / Vertical</v>
      </c>
      <c r="C22" s="225"/>
      <c r="D22" s="226"/>
      <c r="E22" s="132"/>
      <c r="F22" s="111" t="s">
        <v>78</v>
      </c>
      <c r="G22" s="124" t="s">
        <v>84</v>
      </c>
      <c r="H22" s="231"/>
      <c r="I22" s="232"/>
      <c r="J22" s="132"/>
      <c r="K22" s="159"/>
      <c r="L22" s="159"/>
      <c r="M22" s="159"/>
      <c r="N22" s="131"/>
      <c r="AF22" s="89" t="s">
        <v>86</v>
      </c>
    </row>
    <row r="23" spans="1:32" ht="20.100000000000001" customHeight="1" thickBot="1" x14ac:dyDescent="0.25">
      <c r="A23" s="132"/>
      <c r="B23" s="125"/>
      <c r="C23" s="128" t="s">
        <v>14</v>
      </c>
      <c r="D23" s="129" t="s">
        <v>85</v>
      </c>
      <c r="E23" s="132"/>
      <c r="F23" s="111" t="s">
        <v>79</v>
      </c>
      <c r="G23" s="124" t="s">
        <v>84</v>
      </c>
      <c r="H23" s="132"/>
      <c r="I23" s="132"/>
      <c r="J23" s="159"/>
      <c r="K23" s="159"/>
      <c r="L23" s="159"/>
      <c r="M23" s="159"/>
      <c r="N23" s="131"/>
      <c r="AF23" s="89" t="s">
        <v>18</v>
      </c>
    </row>
    <row r="24" spans="1:32" ht="20.100000000000001" customHeight="1" thickBot="1" x14ac:dyDescent="0.25">
      <c r="A24" s="132"/>
      <c r="B24" s="185" t="s">
        <v>70</v>
      </c>
      <c r="C24" s="173" t="str">
        <f>B4 &amp; "'"</f>
        <v>2429'</v>
      </c>
      <c r="D24" s="174" t="str">
        <f>B5 &amp; "'"</f>
        <v>2515'</v>
      </c>
      <c r="E24" s="132"/>
      <c r="F24" s="111" t="s">
        <v>80</v>
      </c>
      <c r="G24" s="124" t="s">
        <v>84</v>
      </c>
      <c r="H24" s="132"/>
      <c r="I24" s="132"/>
      <c r="J24" s="132"/>
      <c r="K24" s="132"/>
      <c r="L24" s="132"/>
      <c r="M24" s="132"/>
      <c r="S24" t="str">
        <f>AD1 &amp; " " &amp; C24 &amp; " " &amp; AD2 &amp; " " &amp; C25 &amp; " " &amp; AD3 &amp; " " &amp; C26 &amp; " " &amp; AD4 &amp; " " &amp; C27 &amp; " " &amp; AD5 &amp; " " &amp; C29</f>
        <v xml:space="preserve"> Survey @  2429'  INC:  0.74°  AZM:  244.52°  TVD:  2428.85' DLS: 0.34°</v>
      </c>
      <c r="AF24" s="89" t="s">
        <v>87</v>
      </c>
    </row>
    <row r="25" spans="1:32" ht="20.100000000000001" customHeight="1" thickBot="1" x14ac:dyDescent="0.25">
      <c r="A25" s="132"/>
      <c r="B25" s="185" t="s">
        <v>60</v>
      </c>
      <c r="C25" s="173" t="str">
        <f>C4 &amp; "°"</f>
        <v>0.74°</v>
      </c>
      <c r="D25" s="175" t="str">
        <f>C5 &amp; "°"</f>
        <v>0.74°</v>
      </c>
      <c r="E25" s="132"/>
      <c r="F25" s="111" t="s">
        <v>81</v>
      </c>
      <c r="G25" s="124" t="s">
        <v>84</v>
      </c>
      <c r="H25" s="132"/>
      <c r="I25" s="132"/>
      <c r="J25" s="132"/>
      <c r="K25" s="132"/>
      <c r="L25" s="132"/>
      <c r="M25" s="132"/>
      <c r="AF25" s="89" t="s">
        <v>76</v>
      </c>
    </row>
    <row r="26" spans="1:32" ht="20.100000000000001" customHeight="1" thickBot="1" x14ac:dyDescent="0.25">
      <c r="A26" s="132"/>
      <c r="B26" s="185" t="s">
        <v>61</v>
      </c>
      <c r="C26" s="173" t="str">
        <f>D4 &amp; "°"</f>
        <v>244.52°</v>
      </c>
      <c r="D26" s="174" t="str">
        <f>D5 &amp; "°"</f>
        <v>244.52°</v>
      </c>
      <c r="E26" s="132"/>
      <c r="F26" s="113" t="s">
        <v>82</v>
      </c>
      <c r="G26" s="113" t="s">
        <v>83</v>
      </c>
      <c r="H26" s="132"/>
      <c r="I26" s="132"/>
      <c r="J26" s="132"/>
      <c r="K26" s="132"/>
      <c r="L26" s="132"/>
      <c r="M26" s="132"/>
    </row>
    <row r="27" spans="1:32" ht="20.100000000000001" customHeight="1" thickBot="1" x14ac:dyDescent="0.25">
      <c r="A27" s="132"/>
      <c r="B27" s="185" t="s">
        <v>62</v>
      </c>
      <c r="C27" s="176" t="str">
        <f>ROUND(F4,2) &amp; "'"</f>
        <v>2428.85'</v>
      </c>
      <c r="D27" s="174" t="str">
        <f>ROUND(F5,2) &amp; "'"</f>
        <v>2514.84'</v>
      </c>
      <c r="E27" s="155" t="s">
        <v>105</v>
      </c>
      <c r="F27" s="114" t="s">
        <v>84</v>
      </c>
      <c r="G27" s="115" t="s">
        <v>84</v>
      </c>
      <c r="H27" s="132"/>
      <c r="I27" s="132"/>
      <c r="J27" s="188"/>
      <c r="K27" s="189"/>
      <c r="L27" s="132"/>
      <c r="M27" s="132"/>
    </row>
    <row r="28" spans="1:32" ht="20.100000000000001" customHeight="1" thickBot="1" x14ac:dyDescent="0.25">
      <c r="A28" s="132"/>
      <c r="B28" s="185" t="s">
        <v>65</v>
      </c>
      <c r="C28" s="173" t="str">
        <f>ROUND(G4,2) &amp; "'"</f>
        <v>0.36'</v>
      </c>
      <c r="D28" s="175" t="str">
        <f>ROUND(G5,2) &amp; "'"</f>
        <v>-0.12'</v>
      </c>
      <c r="E28" s="132"/>
      <c r="F28" s="116" t="str">
        <f>IF(F27&lt;0,RIGHT(TRIM(F26),LEN(TRIM(F$26))-FIND("/",TRIM(F$26))),LEFT(TRIM(F$26),FIND("/",TRIM(F$26))-1))</f>
        <v>Above</v>
      </c>
      <c r="G28" s="121" t="str">
        <f>IF(G27&lt;0,RIGHT(TRIM(G26),LEN(TRIM(G$26))-FIND("/",TRIM(G$26))),LEFT(TRIM(G$26),FIND("/",TRIM(G$26))-1))</f>
        <v>Right</v>
      </c>
      <c r="H28" s="132"/>
      <c r="I28" s="132"/>
      <c r="J28" s="190"/>
      <c r="K28" s="189"/>
      <c r="L28" s="132"/>
      <c r="M28" s="132"/>
    </row>
    <row r="29" spans="1:32" ht="20.100000000000001" customHeight="1" thickBot="1" x14ac:dyDescent="0.25">
      <c r="A29" s="132"/>
      <c r="B29" s="185" t="s">
        <v>66</v>
      </c>
      <c r="C29" s="173" t="str">
        <f>ROUND(N4,2) &amp; "°"</f>
        <v>0.34°</v>
      </c>
      <c r="D29" s="174" t="str">
        <f>ROUND(N5,2) &amp; "°"</f>
        <v>0°</v>
      </c>
      <c r="E29" s="156" t="s">
        <v>106</v>
      </c>
      <c r="F29" s="117" t="s">
        <v>84</v>
      </c>
      <c r="G29" s="118" t="s">
        <v>84</v>
      </c>
      <c r="H29" s="132"/>
      <c r="I29" s="132"/>
      <c r="J29" s="132"/>
      <c r="K29" s="132"/>
      <c r="L29" s="132"/>
      <c r="M29" s="132"/>
    </row>
    <row r="30" spans="1:32" ht="20.100000000000001" customHeight="1" thickBot="1" x14ac:dyDescent="0.25">
      <c r="A30" s="132"/>
      <c r="B30" s="185" t="s">
        <v>63</v>
      </c>
      <c r="C30" s="176" t="str">
        <f>ROUND(H4,2) &amp; "'" &amp;"  " &amp; I4</f>
        <v>0.36'  N</v>
      </c>
      <c r="D30" s="174" t="str">
        <f>ROUND(H5,2) &amp; "'" &amp;"  " &amp; I5</f>
        <v>0.12'  S</v>
      </c>
      <c r="E30" s="132"/>
      <c r="F30" s="122" t="e">
        <f>IF(F29&lt;0,RIGHT(TRIM(F26),LEN(TRIM(F$25))-FIND("/",TRIM(F$25))),LEFT(TRIM(F$25),FIND("/",TRIM(F$25))-1))</f>
        <v>#VALUE!</v>
      </c>
      <c r="G30" s="119" t="e">
        <f>IF(G29&lt;0,RIGHT(TRIM(G26),LEN(TRIM(G$25))-FIND("/",TRIM(G$25))),LEFT(TRIM(G$25),FIND("/",TRIM(G$25))-1))</f>
        <v>#VALUE!</v>
      </c>
      <c r="H30" s="132"/>
      <c r="I30" s="132"/>
      <c r="J30" s="132"/>
      <c r="K30" s="132"/>
      <c r="L30" s="132"/>
      <c r="M30" s="132"/>
    </row>
    <row r="31" spans="1:32" ht="20.100000000000001" customHeight="1" thickBot="1" x14ac:dyDescent="0.25">
      <c r="A31" s="132"/>
      <c r="B31" s="185" t="s">
        <v>64</v>
      </c>
      <c r="C31" s="173" t="str">
        <f>ROUND(J4,2) &amp;"'" &amp;"  " &amp; K4</f>
        <v>9.16'  W</v>
      </c>
      <c r="D31" s="174" t="str">
        <f>ROUND(J5,2) &amp;"'" &amp;"  " &amp; K5</f>
        <v>10.17'  W</v>
      </c>
      <c r="E31" s="132"/>
      <c r="F31" s="117" t="s">
        <v>84</v>
      </c>
      <c r="G31" s="118" t="s">
        <v>84</v>
      </c>
      <c r="H31" s="132"/>
      <c r="I31" s="132"/>
      <c r="J31" s="132"/>
      <c r="K31" s="132"/>
      <c r="L31" s="132"/>
      <c r="M31" s="132"/>
    </row>
    <row r="32" spans="1:32" ht="20.100000000000001" customHeight="1" thickBot="1" x14ac:dyDescent="0.3">
      <c r="A32" s="132"/>
      <c r="B32" s="185"/>
      <c r="C32" s="177"/>
      <c r="D32" s="174"/>
      <c r="E32" s="132"/>
      <c r="F32" s="122" t="e">
        <f>IF(F31&lt;0,RIGHT(TRIM(F26),LEN(TRIM(F$25))-FIND("/",TRIM(F$25))),LEFT(TRIM(F$25),FIND("/",TRIM(F$25))-1))</f>
        <v>#VALUE!</v>
      </c>
      <c r="G32" s="119" t="e">
        <f>IF(G31&lt;0,RIGHT(TRIM(G26),LEN(TRIM(G$25))-FIND("/",TRIM(G$25))),LEFT(TRIM(G$25),FIND("/",TRIM(G$25))-1))</f>
        <v>#VALUE!</v>
      </c>
      <c r="H32" s="132"/>
      <c r="I32" s="132"/>
      <c r="J32" s="132"/>
      <c r="K32" s="132"/>
      <c r="L32" s="132"/>
      <c r="M32" s="132"/>
    </row>
    <row r="33" spans="1:23" ht="20.100000000000001" customHeight="1" thickBot="1" x14ac:dyDescent="0.25">
      <c r="A33" s="132"/>
      <c r="B33" s="185"/>
      <c r="C33" s="173"/>
      <c r="D33" s="174"/>
      <c r="E33" s="132"/>
      <c r="F33" s="132"/>
      <c r="G33" s="132"/>
      <c r="H33" s="132"/>
      <c r="I33" s="132"/>
      <c r="J33" s="132"/>
      <c r="K33" s="132"/>
      <c r="L33" s="132"/>
      <c r="M33" s="132"/>
    </row>
    <row r="34" spans="1:23" ht="20.100000000000001" customHeight="1" thickBot="1" x14ac:dyDescent="0.25">
      <c r="A34" s="132"/>
      <c r="B34" s="127" t="str">
        <f>IF(G22="no", "", F22)</f>
        <v/>
      </c>
      <c r="C34" s="173" t="str">
        <f>IF(G22="no"," ", CONCATENATE(ABS(G22)," ° "))</f>
        <v xml:space="preserve"> </v>
      </c>
      <c r="D34" s="174"/>
      <c r="E34" s="132"/>
      <c r="F34" s="164"/>
      <c r="G34" s="165">
        <v>1</v>
      </c>
      <c r="H34" s="132"/>
      <c r="I34" s="135"/>
      <c r="J34" s="135"/>
      <c r="K34" s="135"/>
      <c r="L34" s="135"/>
      <c r="M34" s="135"/>
      <c r="N34" s="130"/>
      <c r="O34" s="130"/>
      <c r="P34" s="130"/>
      <c r="Q34" s="130"/>
      <c r="R34" s="130"/>
      <c r="S34" s="130"/>
      <c r="T34" s="130"/>
      <c r="U34" s="130"/>
      <c r="V34" s="130"/>
    </row>
    <row r="35" spans="1:23" ht="20.100000000000001" customHeight="1" thickBot="1" x14ac:dyDescent="0.25">
      <c r="A35" s="132"/>
      <c r="B35" s="127" t="s">
        <v>124</v>
      </c>
      <c r="C35" s="173">
        <v>36.89</v>
      </c>
      <c r="D35" s="174"/>
      <c r="E35" s="132"/>
      <c r="F35" s="239" t="str">
        <f>IF(G20&lt;&gt;"Lateral","Plan "&amp;G21&amp;"  "" &amp; Landing:   ","Target Line:   ")</f>
        <v xml:space="preserve">Plan 1  " &amp; Landing:   </v>
      </c>
      <c r="G35" s="240"/>
      <c r="H35" s="135"/>
      <c r="I35" s="135"/>
      <c r="J35" s="135"/>
      <c r="K35" s="135"/>
      <c r="L35" s="135"/>
      <c r="M35" s="135"/>
      <c r="N35" s="130"/>
      <c r="O35" s="130"/>
      <c r="P35" s="130"/>
      <c r="Q35" s="130"/>
      <c r="R35" s="130"/>
      <c r="S35" s="130"/>
      <c r="T35" s="130"/>
      <c r="U35" s="130"/>
      <c r="V35" s="130"/>
      <c r="W35" s="130"/>
    </row>
    <row r="36" spans="1:23" ht="20.100000000000001" customHeight="1" thickBot="1" x14ac:dyDescent="0.25">
      <c r="A36" s="132"/>
      <c r="B36" s="127" t="str">
        <f>IF(G24="no", "", F24)</f>
        <v/>
      </c>
      <c r="C36" s="173" t="str">
        <f>IF(G24="no"," ", CONCATENATE(ABS(G24)," ° "))</f>
        <v xml:space="preserve"> </v>
      </c>
      <c r="D36" s="179"/>
      <c r="E36" s="132"/>
      <c r="F36" s="166" t="s">
        <v>107</v>
      </c>
      <c r="G36" s="161">
        <v>10314.61</v>
      </c>
      <c r="H36" s="135"/>
      <c r="I36" s="135"/>
      <c r="J36" s="135"/>
      <c r="K36" s="135"/>
      <c r="L36" s="135"/>
      <c r="M36" s="135"/>
      <c r="N36" s="130"/>
      <c r="O36" s="130"/>
      <c r="P36" s="130"/>
      <c r="Q36" s="130"/>
      <c r="R36" s="130"/>
      <c r="S36" s="130"/>
      <c r="T36" s="130"/>
      <c r="U36" s="130"/>
      <c r="V36" s="130"/>
      <c r="W36" s="130"/>
    </row>
    <row r="37" spans="1:23" ht="20.100000000000001" customHeight="1" thickBot="1" x14ac:dyDescent="0.25">
      <c r="A37" s="132"/>
      <c r="B37" s="127" t="str">
        <f>IF(G25="no", "", F25)</f>
        <v/>
      </c>
      <c r="C37" s="173" t="str">
        <f>IF(G25="no"," ", CONCATENATE(ABS(G25)," ° "))</f>
        <v xml:space="preserve"> </v>
      </c>
      <c r="D37" s="179"/>
      <c r="E37" s="132"/>
      <c r="F37" s="167" t="s">
        <v>73</v>
      </c>
      <c r="G37" s="161">
        <v>90</v>
      </c>
      <c r="H37" s="132"/>
      <c r="I37" s="132"/>
      <c r="J37" s="132"/>
      <c r="K37" s="132"/>
      <c r="L37" s="132"/>
      <c r="M37" s="132"/>
    </row>
    <row r="38" spans="1:23" ht="20.100000000000001" customHeight="1" thickBot="1" x14ac:dyDescent="0.25">
      <c r="A38" s="132"/>
      <c r="B38" s="126"/>
      <c r="C38" s="178"/>
      <c r="D38" s="180"/>
      <c r="E38" s="132"/>
      <c r="F38" s="167" t="s">
        <v>108</v>
      </c>
      <c r="G38" s="161">
        <v>179.57</v>
      </c>
      <c r="H38" s="132"/>
      <c r="I38" s="132"/>
      <c r="J38" s="132"/>
      <c r="K38" s="132"/>
      <c r="L38" s="132"/>
      <c r="M38" s="132"/>
    </row>
    <row r="39" spans="1:23" ht="20.100000000000001" customHeight="1" x14ac:dyDescent="0.2">
      <c r="A39" s="132"/>
      <c r="B39" s="184"/>
      <c r="C39" s="186"/>
      <c r="D39" s="180"/>
      <c r="E39" s="132"/>
      <c r="F39" s="167" t="s">
        <v>75</v>
      </c>
      <c r="G39" s="162">
        <v>9936</v>
      </c>
      <c r="H39" s="132"/>
      <c r="I39" s="132"/>
      <c r="J39" s="132"/>
      <c r="K39" s="132"/>
      <c r="L39" s="132"/>
      <c r="M39" s="132"/>
    </row>
    <row r="40" spans="1:23" ht="20.100000000000001" customHeight="1" thickBot="1" x14ac:dyDescent="0.25">
      <c r="A40" s="132"/>
      <c r="B40" s="210"/>
      <c r="C40" s="187"/>
      <c r="D40" s="180"/>
      <c r="E40" s="132"/>
      <c r="F40" s="168" t="s">
        <v>109</v>
      </c>
      <c r="G40" s="163">
        <v>178.78</v>
      </c>
      <c r="H40" s="132"/>
      <c r="I40" s="132"/>
      <c r="J40" s="132"/>
      <c r="K40" s="132"/>
      <c r="L40" s="132"/>
      <c r="M40" s="132"/>
    </row>
    <row r="41" spans="1:23" ht="20.100000000000001" customHeight="1" thickBot="1" x14ac:dyDescent="0.25">
      <c r="A41" s="132"/>
      <c r="B41" s="211"/>
      <c r="C41" s="183"/>
      <c r="D41" s="180"/>
      <c r="E41" s="132"/>
      <c r="F41" s="169"/>
      <c r="G41" s="170"/>
      <c r="H41" s="132"/>
      <c r="I41" s="132"/>
      <c r="J41" s="132"/>
      <c r="K41" s="132"/>
      <c r="L41" s="132"/>
      <c r="M41" s="132"/>
    </row>
    <row r="42" spans="1:23" ht="20.100000000000001" customHeight="1" thickBot="1" x14ac:dyDescent="0.25">
      <c r="A42" s="132"/>
      <c r="B42" s="126"/>
      <c r="C42" s="178"/>
      <c r="D42" s="180"/>
      <c r="E42" s="132"/>
      <c r="F42" s="113" t="s">
        <v>110</v>
      </c>
      <c r="G42" s="161" t="s">
        <v>111</v>
      </c>
      <c r="H42" s="132"/>
      <c r="I42" s="132"/>
      <c r="J42" s="132"/>
      <c r="K42" s="132"/>
      <c r="L42" s="132"/>
      <c r="M42" s="160" t="s">
        <v>8</v>
      </c>
    </row>
    <row r="43" spans="1:23" ht="20.100000000000001" customHeight="1" thickBot="1" x14ac:dyDescent="0.25">
      <c r="A43" s="132"/>
      <c r="B43" s="126"/>
      <c r="C43" s="181"/>
      <c r="D43" s="182"/>
      <c r="E43" s="132"/>
      <c r="F43" s="171"/>
      <c r="G43" s="172" t="s">
        <v>112</v>
      </c>
      <c r="H43" s="132"/>
      <c r="I43" s="132"/>
      <c r="J43" s="132"/>
      <c r="K43" s="132"/>
      <c r="L43" s="132"/>
      <c r="M43" s="132"/>
    </row>
    <row r="44" spans="1:23" ht="24" customHeight="1" x14ac:dyDescent="0.2">
      <c r="A44" s="132"/>
      <c r="B44" s="132"/>
      <c r="C44" s="132"/>
      <c r="D44" s="132"/>
      <c r="E44" s="132"/>
      <c r="F44" s="132"/>
      <c r="G44" s="132"/>
      <c r="H44" s="132"/>
      <c r="I44" s="132"/>
      <c r="J44" s="132"/>
      <c r="K44" s="132"/>
      <c r="L44" s="132"/>
      <c r="M44" s="132"/>
    </row>
    <row r="45" spans="1:23" ht="24" customHeight="1" x14ac:dyDescent="0.2">
      <c r="A45" s="132"/>
      <c r="B45" s="132"/>
      <c r="C45" s="132"/>
      <c r="D45" s="132"/>
      <c r="E45" s="132"/>
      <c r="F45" s="132"/>
      <c r="G45" s="132"/>
      <c r="H45" s="132"/>
      <c r="I45" s="132"/>
      <c r="J45" s="132"/>
      <c r="K45" s="132"/>
      <c r="L45" s="132"/>
      <c r="M45" s="132"/>
    </row>
    <row r="46" spans="1:23" ht="24" customHeight="1" x14ac:dyDescent="0.2">
      <c r="A46" s="132"/>
      <c r="B46" s="132"/>
      <c r="C46" s="132"/>
      <c r="D46" s="132"/>
      <c r="E46" s="132"/>
      <c r="F46" s="132"/>
      <c r="G46" s="132"/>
      <c r="H46" s="132"/>
      <c r="I46" s="132"/>
      <c r="J46" s="132"/>
      <c r="K46" s="132"/>
      <c r="L46" s="132"/>
      <c r="M46" s="132"/>
    </row>
    <row r="47" spans="1:23" ht="24" customHeight="1" x14ac:dyDescent="0.2">
      <c r="A47" s="132"/>
      <c r="B47" s="132"/>
      <c r="C47" s="132"/>
      <c r="D47" s="132"/>
      <c r="E47" s="132"/>
      <c r="F47" s="132"/>
      <c r="G47" s="132"/>
      <c r="H47" s="132"/>
      <c r="I47" s="132"/>
      <c r="J47" s="132"/>
      <c r="K47" s="132"/>
      <c r="L47" s="132"/>
      <c r="M47" s="132"/>
    </row>
    <row r="48" spans="1:23" ht="24" customHeight="1" x14ac:dyDescent="0.2">
      <c r="A48" s="132"/>
      <c r="B48" s="132"/>
      <c r="C48" s="132"/>
      <c r="D48" s="132"/>
      <c r="E48" s="132"/>
      <c r="F48" s="132"/>
      <c r="G48" s="132"/>
      <c r="H48" s="132"/>
      <c r="I48" s="132"/>
      <c r="J48" s="132"/>
      <c r="K48" s="132"/>
      <c r="L48" s="132"/>
      <c r="M48" s="132"/>
    </row>
    <row r="49" spans="1:13" ht="24" customHeight="1" x14ac:dyDescent="0.2">
      <c r="A49" s="132"/>
      <c r="B49" s="132"/>
      <c r="C49" s="132"/>
      <c r="D49" s="132"/>
      <c r="E49" s="132"/>
      <c r="F49" s="132"/>
      <c r="G49" s="132"/>
      <c r="H49" s="132"/>
      <c r="I49" s="132"/>
      <c r="J49" s="132"/>
      <c r="K49" s="132"/>
      <c r="L49" s="132"/>
      <c r="M49" s="132"/>
    </row>
    <row r="50" spans="1:13" ht="24" customHeight="1" x14ac:dyDescent="0.2">
      <c r="A50" s="132"/>
      <c r="B50" s="132"/>
      <c r="C50" s="132"/>
      <c r="D50" s="132"/>
      <c r="E50" s="132"/>
      <c r="F50" s="132"/>
      <c r="G50" s="132"/>
      <c r="H50" s="132"/>
      <c r="I50" s="132"/>
      <c r="J50" s="132"/>
      <c r="K50" s="132"/>
      <c r="L50" s="132"/>
      <c r="M50" s="132"/>
    </row>
    <row r="59" spans="1:13" ht="24" customHeight="1" x14ac:dyDescent="0.2">
      <c r="E59" s="96"/>
      <c r="F59" s="96"/>
      <c r="G59" s="96"/>
      <c r="H59" s="96"/>
    </row>
    <row r="60" spans="1:13" ht="24" customHeight="1" x14ac:dyDescent="0.2">
      <c r="E60" s="96"/>
      <c r="F60" s="96"/>
      <c r="G60" s="96"/>
      <c r="H60" s="96"/>
    </row>
    <row r="61" spans="1:13" ht="24" customHeight="1" x14ac:dyDescent="0.2">
      <c r="E61" s="96"/>
      <c r="F61" s="96"/>
      <c r="G61" s="96"/>
      <c r="H61" s="96"/>
    </row>
    <row r="62" spans="1:13" ht="24" customHeight="1" x14ac:dyDescent="0.2">
      <c r="E62" s="96"/>
      <c r="F62" s="96"/>
      <c r="G62" s="96"/>
      <c r="H62" s="96"/>
    </row>
    <row r="63" spans="1:13" ht="24" customHeight="1" x14ac:dyDescent="0.2">
      <c r="E63" s="96"/>
      <c r="F63" s="96"/>
      <c r="G63" s="96"/>
      <c r="H63" s="96"/>
    </row>
  </sheetData>
  <mergeCells count="14">
    <mergeCell ref="B40:B41"/>
    <mergeCell ref="T1:X1"/>
    <mergeCell ref="S9:X9"/>
    <mergeCell ref="B20:D20"/>
    <mergeCell ref="B21:D21"/>
    <mergeCell ref="B22:D22"/>
    <mergeCell ref="H20:I22"/>
    <mergeCell ref="F16:I16"/>
    <mergeCell ref="F17:I17"/>
    <mergeCell ref="F35:G35"/>
    <mergeCell ref="B13:B15"/>
    <mergeCell ref="C13:C15"/>
    <mergeCell ref="A17:D18"/>
    <mergeCell ref="F18:I19"/>
  </mergeCells>
  <conditionalFormatting sqref="Y16:Z17">
    <cfRule type="expression" dxfId="13" priority="15">
      <formula>$Z$19="OK"</formula>
    </cfRule>
  </conditionalFormatting>
  <conditionalFormatting sqref="Z16:Z17">
    <cfRule type="expression" dxfId="12" priority="14">
      <formula>$Z$19 = "OK"</formula>
    </cfRule>
  </conditionalFormatting>
  <conditionalFormatting sqref="Y16:Y17">
    <cfRule type="expression" dxfId="11" priority="13">
      <formula>$Z$19 = "OK"</formula>
    </cfRule>
  </conditionalFormatting>
  <conditionalFormatting sqref="B20">
    <cfRule type="expression" dxfId="10" priority="9">
      <formula>B20="surveys are corrected"</formula>
    </cfRule>
    <cfRule type="expression" dxfId="9" priority="11">
      <formula>A1="surveys are corrected"</formula>
    </cfRule>
    <cfRule type="expression" dxfId="8" priority="12">
      <formula>"A1=""surveys are corrected"</formula>
    </cfRule>
  </conditionalFormatting>
  <conditionalFormatting sqref="G22">
    <cfRule type="expression" dxfId="7" priority="16">
      <formula>SEARCH("MY",$H15)</formula>
    </cfRule>
    <cfRule type="expression" dxfId="6" priority="17">
      <formula>SEARCH("Curve",#REF!)</formula>
    </cfRule>
  </conditionalFormatting>
  <conditionalFormatting sqref="G24">
    <cfRule type="expression" dxfId="5" priority="18">
      <formula>SEARCH("Slide",$H17)</formula>
    </cfRule>
    <cfRule type="expression" dxfId="4" priority="19">
      <formula>SEARCH("Curve",#REF!)</formula>
    </cfRule>
  </conditionalFormatting>
  <conditionalFormatting sqref="G25">
    <cfRule type="expression" dxfId="3" priority="20">
      <formula>SEARCH("Curve",#REF!)</formula>
    </cfRule>
    <cfRule type="expression" dxfId="2" priority="21">
      <formula>SEARCH("Slide",$H18)</formula>
    </cfRule>
  </conditionalFormatting>
  <conditionalFormatting sqref="G23">
    <cfRule type="expression" dxfId="1" priority="22">
      <formula>SEARCH("BRN",$H16)</formula>
    </cfRule>
    <cfRule type="expression" dxfId="0" priority="23">
      <formula>SEARCH("Curve",#REF!)</formula>
    </cfRule>
  </conditionalFormatting>
  <dataValidations count="9">
    <dataValidation type="list" allowBlank="1" showInputMessage="1" showErrorMessage="1" sqref="B20" xr:uid="{4785ED73-C463-42DE-9CC4-38F32423C8B6}">
      <formula1>"Surveys are Corrected,Surveys are Not Corrected"</formula1>
    </dataValidation>
    <dataValidation type="list" allowBlank="1" showInputMessage="1" showErrorMessage="1" sqref="F25" xr:uid="{32D94FAB-7786-42C2-A08D-04CF3372FF0E}">
      <formula1>$P$14:$P$15</formula1>
    </dataValidation>
    <dataValidation type="list" allowBlank="1" showInputMessage="1" showErrorMessage="1" sqref="F24" xr:uid="{D098EB1A-5C33-4D91-B600-A03ED5F5A524}">
      <formula1>$P$2:$P$3</formula1>
    </dataValidation>
    <dataValidation type="list" allowBlank="1" showInputMessage="1" showErrorMessage="1" sqref="F26" xr:uid="{2AAF72FE-7D5C-4E1A-A0BC-305C883E8139}">
      <formula1>"Above/Below, Ahead/Behind, North/South, Up/Down"</formula1>
    </dataValidation>
    <dataValidation type="list" allowBlank="1" showInputMessage="1" showErrorMessage="1" sqref="G26" xr:uid="{98101B32-7088-4798-89A8-1FFC5BFCECEE}">
      <formula1>"East/West, Right/Left, East/West, In/Out"</formula1>
    </dataValidation>
    <dataValidation type="list" allowBlank="1" showInputMessage="1" showErrorMessage="1" sqref="F23" xr:uid="{7496E0B5-0FA2-4CD5-921D-23B8D56A9705}">
      <formula1>$P$38:$P$39</formula1>
    </dataValidation>
    <dataValidation type="list" allowBlank="1" showInputMessage="1" showErrorMessage="1" sqref="G20" xr:uid="{C26B718B-079A-4D69-B03F-7772B4DEC848}">
      <formula1>$AF$22:$AF$25</formula1>
    </dataValidation>
    <dataValidation type="list" allowBlank="1" showInputMessage="1" showErrorMessage="1" sqref="F22" xr:uid="{5138F515-FED5-4DE3-BF8A-E354AD9834F6}">
      <formula1>#REF!</formula1>
    </dataValidation>
    <dataValidation type="list" allowBlank="1" showInputMessage="1" showErrorMessage="1" sqref="F42 J27" xr:uid="{316F3A1D-AFDE-4650-ACA9-96C3D397BA4D}">
      <formula1>$P$45:$P$48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SelectFilesAndComposeEmail">
                <anchor moveWithCells="1" sizeWithCells="1">
                  <from>
                    <xdr:col>3</xdr:col>
                    <xdr:colOff>19050</xdr:colOff>
                    <xdr:row>11</xdr:row>
                    <xdr:rowOff>180975</xdr:rowOff>
                  </from>
                  <to>
                    <xdr:col>3</xdr:col>
                    <xdr:colOff>3009900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CopyMostRecentPopulatedBCD">
                <anchor moveWithCells="1" sizeWithCells="1">
                  <from>
                    <xdr:col>2</xdr:col>
                    <xdr:colOff>9525</xdr:colOff>
                    <xdr:row>11</xdr:row>
                    <xdr:rowOff>190500</xdr:rowOff>
                  </from>
                  <to>
                    <xdr:col>2</xdr:col>
                    <xdr:colOff>1695450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SaveSurveysSheet">
                <anchor moveWithCells="1" sizeWithCells="1">
                  <from>
                    <xdr:col>2</xdr:col>
                    <xdr:colOff>1724025</xdr:colOff>
                    <xdr:row>12</xdr:row>
                    <xdr:rowOff>0</xdr:rowOff>
                  </from>
                  <to>
                    <xdr:col>2</xdr:col>
                    <xdr:colOff>3038475</xdr:colOff>
                    <xdr:row>14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D467A-E1A5-4A09-9871-55A132372838}">
  <sheetPr codeName="Sheet5"/>
  <dimension ref="A1:H300"/>
  <sheetViews>
    <sheetView zoomScale="190" zoomScaleNormal="190" workbookViewId="0">
      <selection activeCell="B2" sqref="B2"/>
    </sheetView>
  </sheetViews>
  <sheetFormatPr defaultColWidth="9.28515625" defaultRowHeight="21" x14ac:dyDescent="0.35"/>
  <cols>
    <col min="1" max="2" width="34.28515625" style="78" customWidth="1"/>
    <col min="3" max="16384" width="9.28515625" style="78"/>
  </cols>
  <sheetData>
    <row r="1" spans="1:8" ht="21" customHeight="1" x14ac:dyDescent="0.35">
      <c r="A1" s="87" t="s">
        <v>68</v>
      </c>
      <c r="B1" s="86" t="s">
        <v>67</v>
      </c>
    </row>
    <row r="2" spans="1:8" ht="15.75" customHeight="1" x14ac:dyDescent="0.35">
      <c r="A2" s="92" t="s">
        <v>116</v>
      </c>
      <c r="B2" s="88" t="s">
        <v>121</v>
      </c>
    </row>
    <row r="3" spans="1:8" ht="15" customHeight="1" x14ac:dyDescent="0.35">
      <c r="A3" s="92" t="s">
        <v>117</v>
      </c>
      <c r="B3" s="81"/>
    </row>
    <row r="4" spans="1:8" ht="18.75" customHeight="1" x14ac:dyDescent="0.35">
      <c r="A4" s="92" t="s">
        <v>118</v>
      </c>
      <c r="B4" s="80"/>
      <c r="D4" s="250" t="s">
        <v>69</v>
      </c>
      <c r="E4" s="250"/>
      <c r="F4" s="250"/>
      <c r="G4" s="250"/>
      <c r="H4" s="250"/>
    </row>
    <row r="5" spans="1:8" ht="18.75" customHeight="1" x14ac:dyDescent="0.35">
      <c r="A5" s="194" t="s">
        <v>119</v>
      </c>
      <c r="B5" s="80"/>
      <c r="D5" s="250"/>
      <c r="E5" s="250"/>
      <c r="F5" s="250"/>
      <c r="G5" s="250"/>
      <c r="H5" s="250"/>
    </row>
    <row r="6" spans="1:8" ht="15" customHeight="1" x14ac:dyDescent="0.35">
      <c r="A6" s="89"/>
      <c r="B6" s="81"/>
      <c r="D6" s="250"/>
      <c r="E6" s="250"/>
      <c r="F6" s="250"/>
      <c r="G6" s="250"/>
      <c r="H6" s="250"/>
    </row>
    <row r="7" spans="1:8" ht="15" customHeight="1" x14ac:dyDescent="0.35">
      <c r="A7" s="89"/>
      <c r="B7" s="80"/>
      <c r="D7" s="250"/>
      <c r="E7" s="250"/>
      <c r="F7" s="250"/>
      <c r="G7" s="250"/>
      <c r="H7" s="250"/>
    </row>
    <row r="8" spans="1:8" ht="15" customHeight="1" x14ac:dyDescent="0.35">
      <c r="A8" s="85"/>
      <c r="B8" s="80"/>
      <c r="D8" s="84"/>
    </row>
    <row r="9" spans="1:8" ht="15" customHeight="1" x14ac:dyDescent="0.35">
      <c r="A9" s="85"/>
      <c r="B9" s="81"/>
      <c r="D9" s="84"/>
    </row>
    <row r="10" spans="1:8" ht="18.75" customHeight="1" x14ac:dyDescent="0.35">
      <c r="A10" s="85"/>
      <c r="B10" s="80"/>
      <c r="D10" s="84"/>
    </row>
    <row r="11" spans="1:8" ht="15" customHeight="1" x14ac:dyDescent="0.35">
      <c r="A11" s="85"/>
      <c r="B11" s="79"/>
      <c r="D11" s="84"/>
    </row>
    <row r="12" spans="1:8" ht="18.75" customHeight="1" x14ac:dyDescent="0.35">
      <c r="A12" s="85"/>
      <c r="B12" s="80"/>
      <c r="D12" s="84"/>
    </row>
    <row r="13" spans="1:8" ht="15" customHeight="1" x14ac:dyDescent="0.35">
      <c r="A13" s="85"/>
      <c r="B13" s="80"/>
      <c r="D13" s="84"/>
    </row>
    <row r="14" spans="1:8" ht="15" customHeight="1" x14ac:dyDescent="0.35">
      <c r="A14" s="85"/>
      <c r="B14" s="80"/>
      <c r="D14" s="84"/>
    </row>
    <row r="15" spans="1:8" ht="15" customHeight="1" x14ac:dyDescent="0.35">
      <c r="A15" s="83"/>
      <c r="B15" s="80"/>
    </row>
    <row r="16" spans="1:8" ht="15" customHeight="1" x14ac:dyDescent="0.35">
      <c r="A16" s="82"/>
      <c r="B16" s="80"/>
    </row>
    <row r="17" spans="1:2" ht="15" customHeight="1" x14ac:dyDescent="0.35">
      <c r="A17" s="80"/>
      <c r="B17" s="80"/>
    </row>
    <row r="18" spans="1:2" ht="15" customHeight="1" x14ac:dyDescent="0.35">
      <c r="A18" s="81"/>
      <c r="B18" s="80"/>
    </row>
    <row r="19" spans="1:2" ht="15" customHeight="1" x14ac:dyDescent="0.35">
      <c r="A19" s="80"/>
      <c r="B19" s="80"/>
    </row>
    <row r="20" spans="1:2" ht="15" customHeight="1" x14ac:dyDescent="0.35">
      <c r="A20" s="80"/>
      <c r="B20" s="80"/>
    </row>
    <row r="21" spans="1:2" ht="15" customHeight="1" x14ac:dyDescent="0.35">
      <c r="A21" s="80"/>
      <c r="B21" s="80"/>
    </row>
    <row r="22" spans="1:2" ht="15" customHeight="1" x14ac:dyDescent="0.35">
      <c r="A22" s="80"/>
      <c r="B22" s="80"/>
    </row>
    <row r="23" spans="1:2" ht="15" customHeight="1" x14ac:dyDescent="0.35">
      <c r="A23" s="80"/>
      <c r="B23" s="79"/>
    </row>
    <row r="24" spans="1:2" ht="15" customHeight="1" x14ac:dyDescent="0.35">
      <c r="A24" s="80"/>
      <c r="B24" s="79"/>
    </row>
    <row r="25" spans="1:2" ht="15" customHeight="1" x14ac:dyDescent="0.35">
      <c r="A25" s="80"/>
      <c r="B25" s="79"/>
    </row>
    <row r="26" spans="1:2" ht="15" customHeight="1" x14ac:dyDescent="0.35">
      <c r="A26" s="80"/>
      <c r="B26" s="79"/>
    </row>
    <row r="27" spans="1:2" ht="15" customHeight="1" x14ac:dyDescent="0.35">
      <c r="A27" s="80"/>
      <c r="B27" s="79"/>
    </row>
    <row r="28" spans="1:2" ht="15" customHeight="1" x14ac:dyDescent="0.35">
      <c r="A28" s="80"/>
      <c r="B28" s="79"/>
    </row>
    <row r="29" spans="1:2" ht="15" customHeight="1" x14ac:dyDescent="0.35">
      <c r="A29" s="80"/>
      <c r="B29" s="79"/>
    </row>
    <row r="30" spans="1:2" ht="15" customHeight="1" x14ac:dyDescent="0.35">
      <c r="A30" s="80"/>
      <c r="B30" s="79"/>
    </row>
    <row r="31" spans="1:2" ht="15" customHeight="1" x14ac:dyDescent="0.35">
      <c r="A31" s="80"/>
      <c r="B31" s="79"/>
    </row>
    <row r="32" spans="1:2" ht="15" customHeight="1" x14ac:dyDescent="0.35">
      <c r="A32" s="80"/>
      <c r="B32" s="79"/>
    </row>
    <row r="33" spans="1:2" ht="15" customHeight="1" x14ac:dyDescent="0.35">
      <c r="A33" s="80"/>
      <c r="B33" s="79"/>
    </row>
    <row r="34" spans="1:2" ht="15" customHeight="1" x14ac:dyDescent="0.35">
      <c r="A34" s="80"/>
      <c r="B34" s="79"/>
    </row>
    <row r="35" spans="1:2" ht="15" customHeight="1" x14ac:dyDescent="0.35">
      <c r="A35" s="79"/>
      <c r="B35" s="79"/>
    </row>
    <row r="36" spans="1:2" ht="15" customHeight="1" x14ac:dyDescent="0.35">
      <c r="A36" s="80"/>
      <c r="B36" s="79"/>
    </row>
    <row r="37" spans="1:2" ht="15" customHeight="1" x14ac:dyDescent="0.35">
      <c r="A37" s="80"/>
      <c r="B37" s="79"/>
    </row>
    <row r="38" spans="1:2" ht="15" customHeight="1" x14ac:dyDescent="0.35">
      <c r="A38" s="80"/>
      <c r="B38" s="79"/>
    </row>
    <row r="39" spans="1:2" ht="15" customHeight="1" x14ac:dyDescent="0.35">
      <c r="A39" s="80"/>
      <c r="B39" s="79"/>
    </row>
    <row r="40" spans="1:2" ht="15" customHeight="1" x14ac:dyDescent="0.35">
      <c r="A40" s="80"/>
      <c r="B40" s="79"/>
    </row>
    <row r="41" spans="1:2" ht="15" customHeight="1" x14ac:dyDescent="0.35">
      <c r="A41" s="80"/>
      <c r="B41" s="79"/>
    </row>
    <row r="42" spans="1:2" ht="15" customHeight="1" x14ac:dyDescent="0.35">
      <c r="A42" s="80"/>
      <c r="B42" s="79"/>
    </row>
    <row r="43" spans="1:2" ht="15" customHeight="1" x14ac:dyDescent="0.35">
      <c r="A43" s="80"/>
      <c r="B43" s="79"/>
    </row>
    <row r="44" spans="1:2" ht="15" customHeight="1" x14ac:dyDescent="0.35">
      <c r="A44" s="80"/>
      <c r="B44" s="79"/>
    </row>
    <row r="45" spans="1:2" ht="15" customHeight="1" x14ac:dyDescent="0.35">
      <c r="A45" s="80"/>
      <c r="B45" s="79"/>
    </row>
    <row r="46" spans="1:2" ht="15" customHeight="1" x14ac:dyDescent="0.35">
      <c r="A46" s="80"/>
      <c r="B46" s="79"/>
    </row>
    <row r="47" spans="1:2" ht="15" customHeight="1" x14ac:dyDescent="0.35">
      <c r="A47" s="80"/>
      <c r="B47" s="79"/>
    </row>
    <row r="48" spans="1:2" ht="15" customHeight="1" x14ac:dyDescent="0.35">
      <c r="A48" s="79"/>
      <c r="B48" s="79"/>
    </row>
    <row r="49" spans="1:2" ht="15" customHeight="1" x14ac:dyDescent="0.35">
      <c r="A49" s="79"/>
      <c r="B49" s="79"/>
    </row>
    <row r="50" spans="1:2" ht="15" customHeight="1" x14ac:dyDescent="0.35">
      <c r="A50" s="79"/>
      <c r="B50" s="79"/>
    </row>
    <row r="51" spans="1:2" ht="15" customHeight="1" x14ac:dyDescent="0.35">
      <c r="A51" s="79"/>
      <c r="B51" s="79"/>
    </row>
    <row r="52" spans="1:2" ht="15" customHeight="1" x14ac:dyDescent="0.35">
      <c r="A52" s="79"/>
      <c r="B52" s="79"/>
    </row>
    <row r="53" spans="1:2" ht="15" customHeight="1" x14ac:dyDescent="0.35"/>
    <row r="54" spans="1:2" ht="15" customHeight="1" x14ac:dyDescent="0.35"/>
    <row r="55" spans="1:2" ht="15" customHeight="1" x14ac:dyDescent="0.35"/>
    <row r="56" spans="1:2" ht="15" customHeight="1" x14ac:dyDescent="0.35"/>
    <row r="57" spans="1:2" ht="15" customHeight="1" x14ac:dyDescent="0.35"/>
    <row r="58" spans="1:2" ht="15" customHeight="1" x14ac:dyDescent="0.35"/>
    <row r="59" spans="1:2" ht="15" customHeight="1" x14ac:dyDescent="0.35"/>
    <row r="60" spans="1:2" ht="15" customHeight="1" x14ac:dyDescent="0.35"/>
    <row r="61" spans="1:2" ht="15" customHeight="1" x14ac:dyDescent="0.35"/>
    <row r="62" spans="1:2" ht="15" customHeight="1" x14ac:dyDescent="0.35"/>
    <row r="63" spans="1:2" ht="15" customHeight="1" x14ac:dyDescent="0.35"/>
    <row r="64" spans="1:2" ht="15" customHeight="1" x14ac:dyDescent="0.35"/>
    <row r="65" ht="15" customHeight="1" x14ac:dyDescent="0.35"/>
    <row r="66" ht="15" customHeight="1" x14ac:dyDescent="0.35"/>
    <row r="67" ht="15" customHeight="1" x14ac:dyDescent="0.35"/>
    <row r="68" ht="15" customHeight="1" x14ac:dyDescent="0.35"/>
    <row r="69" ht="15" customHeight="1" x14ac:dyDescent="0.35"/>
    <row r="70" ht="15" customHeight="1" x14ac:dyDescent="0.35"/>
    <row r="71" ht="15" customHeight="1" x14ac:dyDescent="0.35"/>
    <row r="72" ht="15" customHeight="1" x14ac:dyDescent="0.35"/>
    <row r="73" ht="15" customHeight="1" x14ac:dyDescent="0.35"/>
    <row r="74" ht="15" customHeight="1" x14ac:dyDescent="0.35"/>
    <row r="75" ht="15" customHeight="1" x14ac:dyDescent="0.35"/>
    <row r="76" ht="15" customHeight="1" x14ac:dyDescent="0.35"/>
    <row r="77" ht="15" customHeight="1" x14ac:dyDescent="0.35"/>
    <row r="78" ht="15" customHeight="1" x14ac:dyDescent="0.35"/>
    <row r="79" ht="15" customHeight="1" x14ac:dyDescent="0.35"/>
    <row r="80" ht="15" customHeight="1" x14ac:dyDescent="0.35"/>
    <row r="81" ht="15" customHeight="1" x14ac:dyDescent="0.35"/>
    <row r="82" ht="15" customHeight="1" x14ac:dyDescent="0.35"/>
    <row r="83" ht="15" customHeight="1" x14ac:dyDescent="0.35"/>
    <row r="84" ht="15" customHeight="1" x14ac:dyDescent="0.35"/>
    <row r="85" ht="15" customHeight="1" x14ac:dyDescent="0.35"/>
    <row r="86" ht="15" customHeight="1" x14ac:dyDescent="0.35"/>
    <row r="87" ht="15" customHeight="1" x14ac:dyDescent="0.35"/>
    <row r="88" ht="15" customHeight="1" x14ac:dyDescent="0.35"/>
    <row r="89" ht="15" customHeight="1" x14ac:dyDescent="0.35"/>
    <row r="90" ht="15" customHeight="1" x14ac:dyDescent="0.35"/>
    <row r="91" ht="15" customHeight="1" x14ac:dyDescent="0.35"/>
    <row r="92" ht="15" customHeight="1" x14ac:dyDescent="0.35"/>
    <row r="93" ht="15" customHeight="1" x14ac:dyDescent="0.35"/>
    <row r="94" ht="15" customHeight="1" x14ac:dyDescent="0.35"/>
    <row r="95" ht="15" customHeight="1" x14ac:dyDescent="0.35"/>
    <row r="96" ht="15" customHeight="1" x14ac:dyDescent="0.35"/>
    <row r="97" ht="15" customHeight="1" x14ac:dyDescent="0.35"/>
    <row r="98" ht="15" customHeight="1" x14ac:dyDescent="0.35"/>
    <row r="99" ht="15" customHeight="1" x14ac:dyDescent="0.35"/>
    <row r="100" ht="15" customHeight="1" x14ac:dyDescent="0.35"/>
    <row r="101" ht="15" customHeight="1" x14ac:dyDescent="0.35"/>
    <row r="102" ht="15" customHeight="1" x14ac:dyDescent="0.35"/>
    <row r="103" ht="15" customHeight="1" x14ac:dyDescent="0.35"/>
    <row r="104" ht="15" customHeight="1" x14ac:dyDescent="0.35"/>
    <row r="105" ht="15" customHeight="1" x14ac:dyDescent="0.35"/>
    <row r="106" ht="15" customHeight="1" x14ac:dyDescent="0.35"/>
    <row r="107" ht="15" customHeight="1" x14ac:dyDescent="0.35"/>
    <row r="108" ht="15" customHeight="1" x14ac:dyDescent="0.35"/>
    <row r="109" ht="15" customHeight="1" x14ac:dyDescent="0.35"/>
    <row r="110" ht="15" customHeight="1" x14ac:dyDescent="0.35"/>
    <row r="111" ht="15" customHeight="1" x14ac:dyDescent="0.35"/>
    <row r="112" ht="15" customHeight="1" x14ac:dyDescent="0.35"/>
    <row r="113" ht="15" customHeight="1" x14ac:dyDescent="0.35"/>
    <row r="114" ht="15" customHeight="1" x14ac:dyDescent="0.35"/>
    <row r="115" ht="15" customHeight="1" x14ac:dyDescent="0.35"/>
    <row r="116" ht="15" customHeight="1" x14ac:dyDescent="0.35"/>
    <row r="117" ht="15" customHeight="1" x14ac:dyDescent="0.35"/>
    <row r="118" ht="15" customHeight="1" x14ac:dyDescent="0.35"/>
    <row r="119" ht="15" customHeight="1" x14ac:dyDescent="0.35"/>
    <row r="120" ht="15" customHeight="1" x14ac:dyDescent="0.35"/>
    <row r="121" ht="15" customHeight="1" x14ac:dyDescent="0.35"/>
    <row r="122" ht="15" customHeight="1" x14ac:dyDescent="0.35"/>
    <row r="123" ht="15" customHeight="1" x14ac:dyDescent="0.35"/>
    <row r="124" ht="15" customHeight="1" x14ac:dyDescent="0.35"/>
    <row r="125" ht="15" customHeight="1" x14ac:dyDescent="0.35"/>
    <row r="126" ht="15" customHeight="1" x14ac:dyDescent="0.35"/>
    <row r="127" ht="15" customHeight="1" x14ac:dyDescent="0.35"/>
    <row r="128" ht="15" customHeight="1" x14ac:dyDescent="0.35"/>
    <row r="129" ht="15" customHeight="1" x14ac:dyDescent="0.35"/>
    <row r="130" ht="15" customHeight="1" x14ac:dyDescent="0.35"/>
    <row r="131" ht="15" customHeight="1" x14ac:dyDescent="0.35"/>
    <row r="132" ht="15" customHeight="1" x14ac:dyDescent="0.35"/>
    <row r="133" ht="15" customHeight="1" x14ac:dyDescent="0.35"/>
    <row r="134" ht="15" customHeight="1" x14ac:dyDescent="0.35"/>
    <row r="135" ht="15" customHeight="1" x14ac:dyDescent="0.35"/>
    <row r="136" ht="15" customHeight="1" x14ac:dyDescent="0.35"/>
    <row r="137" ht="15" customHeight="1" x14ac:dyDescent="0.35"/>
    <row r="138" ht="15" customHeight="1" x14ac:dyDescent="0.35"/>
    <row r="139" ht="15" customHeight="1" x14ac:dyDescent="0.35"/>
    <row r="140" ht="15" customHeight="1" x14ac:dyDescent="0.35"/>
    <row r="141" ht="15" customHeight="1" x14ac:dyDescent="0.35"/>
    <row r="142" ht="15" customHeight="1" x14ac:dyDescent="0.35"/>
    <row r="143" ht="15" customHeight="1" x14ac:dyDescent="0.35"/>
    <row r="144" ht="15" customHeight="1" x14ac:dyDescent="0.35"/>
    <row r="145" ht="15" customHeight="1" x14ac:dyDescent="0.35"/>
    <row r="146" ht="15" customHeight="1" x14ac:dyDescent="0.35"/>
    <row r="147" ht="15" customHeight="1" x14ac:dyDescent="0.35"/>
    <row r="148" ht="15" customHeight="1" x14ac:dyDescent="0.35"/>
    <row r="149" ht="15" customHeight="1" x14ac:dyDescent="0.35"/>
    <row r="150" ht="15" customHeight="1" x14ac:dyDescent="0.35"/>
    <row r="151" ht="15" customHeight="1" x14ac:dyDescent="0.35"/>
    <row r="152" ht="15" customHeight="1" x14ac:dyDescent="0.35"/>
    <row r="153" ht="15" customHeight="1" x14ac:dyDescent="0.35"/>
    <row r="154" ht="15" customHeight="1" x14ac:dyDescent="0.35"/>
    <row r="155" ht="15" customHeight="1" x14ac:dyDescent="0.35"/>
    <row r="156" ht="15" customHeight="1" x14ac:dyDescent="0.35"/>
    <row r="157" ht="15" customHeight="1" x14ac:dyDescent="0.35"/>
    <row r="158" ht="15" customHeight="1" x14ac:dyDescent="0.35"/>
    <row r="159" ht="15" customHeight="1" x14ac:dyDescent="0.35"/>
    <row r="160" ht="15" customHeight="1" x14ac:dyDescent="0.35"/>
    <row r="161" ht="15" customHeight="1" x14ac:dyDescent="0.35"/>
    <row r="162" ht="15" customHeight="1" x14ac:dyDescent="0.35"/>
    <row r="163" ht="15" customHeight="1" x14ac:dyDescent="0.35"/>
    <row r="164" ht="15" customHeight="1" x14ac:dyDescent="0.35"/>
    <row r="165" ht="15" customHeight="1" x14ac:dyDescent="0.35"/>
    <row r="166" ht="15" customHeight="1" x14ac:dyDescent="0.35"/>
    <row r="167" ht="15" customHeight="1" x14ac:dyDescent="0.35"/>
    <row r="168" ht="15" customHeight="1" x14ac:dyDescent="0.35"/>
    <row r="169" ht="15" customHeight="1" x14ac:dyDescent="0.35"/>
    <row r="170" ht="15" customHeight="1" x14ac:dyDescent="0.35"/>
    <row r="171" ht="15" customHeight="1" x14ac:dyDescent="0.35"/>
    <row r="172" ht="15" customHeight="1" x14ac:dyDescent="0.35"/>
    <row r="173" ht="15" customHeight="1" x14ac:dyDescent="0.35"/>
    <row r="174" ht="15" customHeight="1" x14ac:dyDescent="0.35"/>
    <row r="175" ht="15" customHeight="1" x14ac:dyDescent="0.35"/>
    <row r="176" ht="15" customHeight="1" x14ac:dyDescent="0.35"/>
    <row r="177" ht="15" customHeight="1" x14ac:dyDescent="0.35"/>
    <row r="178" ht="15" customHeight="1" x14ac:dyDescent="0.35"/>
    <row r="179" ht="15" customHeight="1" x14ac:dyDescent="0.35"/>
    <row r="180" ht="15" customHeight="1" x14ac:dyDescent="0.35"/>
    <row r="181" ht="15" customHeight="1" x14ac:dyDescent="0.35"/>
    <row r="182" ht="15" customHeight="1" x14ac:dyDescent="0.35"/>
    <row r="183" ht="15" customHeight="1" x14ac:dyDescent="0.35"/>
    <row r="184" ht="15" customHeight="1" x14ac:dyDescent="0.35"/>
    <row r="185" ht="15" customHeight="1" x14ac:dyDescent="0.35"/>
    <row r="186" ht="15" customHeight="1" x14ac:dyDescent="0.35"/>
    <row r="187" ht="15" customHeight="1" x14ac:dyDescent="0.35"/>
    <row r="188" ht="15" customHeight="1" x14ac:dyDescent="0.35"/>
    <row r="189" ht="15" customHeight="1" x14ac:dyDescent="0.35"/>
    <row r="190" ht="15" customHeight="1" x14ac:dyDescent="0.35"/>
    <row r="191" ht="15" customHeight="1" x14ac:dyDescent="0.35"/>
    <row r="192" ht="15" customHeight="1" x14ac:dyDescent="0.35"/>
    <row r="193" ht="15" customHeight="1" x14ac:dyDescent="0.35"/>
    <row r="194" ht="15" customHeight="1" x14ac:dyDescent="0.35"/>
    <row r="195" ht="15" customHeight="1" x14ac:dyDescent="0.35"/>
    <row r="196" ht="15" customHeight="1" x14ac:dyDescent="0.35"/>
    <row r="197" ht="15" customHeight="1" x14ac:dyDescent="0.35"/>
    <row r="198" ht="15" customHeight="1" x14ac:dyDescent="0.35"/>
    <row r="199" ht="15" customHeight="1" x14ac:dyDescent="0.35"/>
    <row r="200" ht="15" customHeight="1" x14ac:dyDescent="0.35"/>
    <row r="201" ht="15" customHeight="1" x14ac:dyDescent="0.35"/>
    <row r="202" ht="15" customHeight="1" x14ac:dyDescent="0.35"/>
    <row r="203" ht="15" customHeight="1" x14ac:dyDescent="0.35"/>
    <row r="204" ht="15" customHeight="1" x14ac:dyDescent="0.35"/>
    <row r="205" ht="15" customHeight="1" x14ac:dyDescent="0.35"/>
    <row r="206" ht="15" customHeight="1" x14ac:dyDescent="0.35"/>
    <row r="207" ht="15" customHeight="1" x14ac:dyDescent="0.35"/>
    <row r="208" ht="15" customHeight="1" x14ac:dyDescent="0.35"/>
    <row r="209" ht="15" customHeight="1" x14ac:dyDescent="0.35"/>
    <row r="210" ht="15" customHeight="1" x14ac:dyDescent="0.35"/>
    <row r="211" ht="15" customHeight="1" x14ac:dyDescent="0.35"/>
    <row r="212" ht="15" customHeight="1" x14ac:dyDescent="0.35"/>
    <row r="213" ht="15" customHeight="1" x14ac:dyDescent="0.35"/>
    <row r="214" ht="15" customHeight="1" x14ac:dyDescent="0.35"/>
    <row r="215" ht="15" customHeight="1" x14ac:dyDescent="0.35"/>
    <row r="216" ht="15" customHeight="1" x14ac:dyDescent="0.35"/>
    <row r="217" ht="15" customHeight="1" x14ac:dyDescent="0.35"/>
    <row r="218" ht="15" customHeight="1" x14ac:dyDescent="0.35"/>
    <row r="219" ht="15" customHeight="1" x14ac:dyDescent="0.35"/>
    <row r="220" ht="15" customHeight="1" x14ac:dyDescent="0.35"/>
    <row r="221" ht="15" customHeight="1" x14ac:dyDescent="0.35"/>
    <row r="222" ht="15" customHeight="1" x14ac:dyDescent="0.35"/>
    <row r="223" ht="15" customHeight="1" x14ac:dyDescent="0.35"/>
    <row r="224" ht="15" customHeight="1" x14ac:dyDescent="0.35"/>
    <row r="225" ht="15" customHeight="1" x14ac:dyDescent="0.35"/>
    <row r="226" ht="15" customHeight="1" x14ac:dyDescent="0.35"/>
    <row r="227" ht="15" customHeight="1" x14ac:dyDescent="0.35"/>
    <row r="228" ht="15" customHeight="1" x14ac:dyDescent="0.35"/>
    <row r="229" ht="15" customHeight="1" x14ac:dyDescent="0.35"/>
    <row r="230" ht="15" customHeight="1" x14ac:dyDescent="0.35"/>
    <row r="231" ht="15" customHeight="1" x14ac:dyDescent="0.35"/>
    <row r="232" ht="15" customHeight="1" x14ac:dyDescent="0.35"/>
    <row r="233" ht="15" customHeight="1" x14ac:dyDescent="0.35"/>
    <row r="234" ht="15" customHeight="1" x14ac:dyDescent="0.35"/>
    <row r="235" ht="15" customHeight="1" x14ac:dyDescent="0.35"/>
    <row r="236" ht="15" customHeight="1" x14ac:dyDescent="0.35"/>
    <row r="237" ht="15" customHeight="1" x14ac:dyDescent="0.35"/>
    <row r="238" ht="15" customHeight="1" x14ac:dyDescent="0.35"/>
    <row r="239" ht="15" customHeight="1" x14ac:dyDescent="0.35"/>
    <row r="240" ht="15" customHeight="1" x14ac:dyDescent="0.35"/>
    <row r="241" ht="15" customHeight="1" x14ac:dyDescent="0.35"/>
    <row r="242" ht="15" customHeight="1" x14ac:dyDescent="0.35"/>
    <row r="243" ht="15" customHeight="1" x14ac:dyDescent="0.35"/>
    <row r="244" ht="15" customHeight="1" x14ac:dyDescent="0.35"/>
    <row r="245" ht="15" customHeight="1" x14ac:dyDescent="0.35"/>
    <row r="246" ht="15" customHeight="1" x14ac:dyDescent="0.35"/>
    <row r="247" ht="15" customHeight="1" x14ac:dyDescent="0.35"/>
    <row r="248" ht="15" customHeight="1" x14ac:dyDescent="0.35"/>
    <row r="249" ht="15" customHeight="1" x14ac:dyDescent="0.35"/>
    <row r="250" ht="15" customHeight="1" x14ac:dyDescent="0.35"/>
    <row r="251" ht="15" customHeight="1" x14ac:dyDescent="0.35"/>
    <row r="252" ht="15" customHeight="1" x14ac:dyDescent="0.35"/>
    <row r="253" ht="15" customHeight="1" x14ac:dyDescent="0.35"/>
    <row r="254" ht="15" customHeight="1" x14ac:dyDescent="0.35"/>
    <row r="255" ht="15" customHeight="1" x14ac:dyDescent="0.35"/>
    <row r="256" ht="15" customHeight="1" x14ac:dyDescent="0.35"/>
    <row r="257" ht="15" customHeight="1" x14ac:dyDescent="0.35"/>
    <row r="258" ht="15" customHeight="1" x14ac:dyDescent="0.35"/>
    <row r="259" ht="15" customHeight="1" x14ac:dyDescent="0.35"/>
    <row r="260" ht="15" customHeight="1" x14ac:dyDescent="0.35"/>
    <row r="261" ht="15" customHeight="1" x14ac:dyDescent="0.35"/>
    <row r="262" ht="15" customHeight="1" x14ac:dyDescent="0.35"/>
    <row r="263" ht="15" customHeight="1" x14ac:dyDescent="0.35"/>
    <row r="264" ht="15" customHeight="1" x14ac:dyDescent="0.35"/>
    <row r="265" ht="15" customHeight="1" x14ac:dyDescent="0.35"/>
    <row r="266" ht="15" customHeight="1" x14ac:dyDescent="0.35"/>
    <row r="267" ht="15" customHeight="1" x14ac:dyDescent="0.35"/>
    <row r="268" ht="15" customHeight="1" x14ac:dyDescent="0.35"/>
    <row r="269" ht="15" customHeight="1" x14ac:dyDescent="0.35"/>
    <row r="270" ht="15" customHeight="1" x14ac:dyDescent="0.35"/>
    <row r="271" ht="15" customHeight="1" x14ac:dyDescent="0.35"/>
    <row r="272" ht="15" customHeight="1" x14ac:dyDescent="0.35"/>
    <row r="273" ht="15" customHeight="1" x14ac:dyDescent="0.35"/>
    <row r="274" ht="15" customHeight="1" x14ac:dyDescent="0.35"/>
    <row r="275" ht="15" customHeight="1" x14ac:dyDescent="0.35"/>
    <row r="276" ht="15" customHeight="1" x14ac:dyDescent="0.35"/>
    <row r="277" ht="15" customHeight="1" x14ac:dyDescent="0.35"/>
    <row r="278" ht="15" customHeight="1" x14ac:dyDescent="0.35"/>
    <row r="279" ht="15" customHeight="1" x14ac:dyDescent="0.35"/>
    <row r="280" ht="15" customHeight="1" x14ac:dyDescent="0.35"/>
    <row r="281" ht="15" customHeight="1" x14ac:dyDescent="0.35"/>
    <row r="282" ht="15" customHeight="1" x14ac:dyDescent="0.35"/>
    <row r="283" ht="15" customHeight="1" x14ac:dyDescent="0.35"/>
    <row r="284" ht="15" customHeight="1" x14ac:dyDescent="0.35"/>
    <row r="285" ht="15" customHeight="1" x14ac:dyDescent="0.35"/>
    <row r="286" ht="15" customHeight="1" x14ac:dyDescent="0.35"/>
    <row r="287" ht="15" customHeight="1" x14ac:dyDescent="0.35"/>
    <row r="288" ht="15" customHeight="1" x14ac:dyDescent="0.35"/>
    <row r="289" ht="15" customHeight="1" x14ac:dyDescent="0.35"/>
    <row r="290" ht="15" customHeight="1" x14ac:dyDescent="0.35"/>
    <row r="291" ht="15" customHeight="1" x14ac:dyDescent="0.35"/>
    <row r="292" ht="15" customHeight="1" x14ac:dyDescent="0.35"/>
    <row r="293" ht="15" customHeight="1" x14ac:dyDescent="0.35"/>
    <row r="294" ht="15" customHeight="1" x14ac:dyDescent="0.35"/>
    <row r="295" ht="15" customHeight="1" x14ac:dyDescent="0.35"/>
    <row r="296" ht="15" customHeight="1" x14ac:dyDescent="0.35"/>
    <row r="297" ht="15" customHeight="1" x14ac:dyDescent="0.35"/>
    <row r="298" ht="15" customHeight="1" x14ac:dyDescent="0.35"/>
    <row r="299" ht="15" customHeight="1" x14ac:dyDescent="0.35"/>
    <row r="300" ht="15" customHeight="1" x14ac:dyDescent="0.35"/>
  </sheetData>
  <mergeCells count="1">
    <mergeCell ref="D4:H7"/>
  </mergeCells>
  <hyperlinks>
    <hyperlink ref="A2" r:id="rId1" display="mailto:DSM_Rig9@oxy.com" xr:uid="{F93AF118-F8B6-4040-94F0-41B3FDF799C7}"/>
    <hyperlink ref="A3" r:id="rId2" display="mailto:rig9@pfs.energy" xr:uid="{8D138EB8-B82F-4626-8485-697F7BB3F096}"/>
    <hyperlink ref="A5" r:id="rId3" xr:uid="{87C078E2-83F9-4D81-BB00-6A8A464C5D27}"/>
    <hyperlink ref="A4" r:id="rId4" xr:uid="{6AF2C630-201D-4A73-BAD5-A683B45622AE}"/>
    <hyperlink ref="B2" r:id="rId5" xr:uid="{7974A58A-8E24-42F2-8FAB-E676F0A144A6}"/>
  </hyperlinks>
  <pageMargins left="0.7" right="0.7" top="0.75" bottom="0.75" header="0.3" footer="0.3"/>
  <pageSetup orientation="portrait" horizontalDpi="4294967293" r:id="rId6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C42DF-32D0-47FE-A2C7-9A7EC2B87C6C}">
  <sheetPr codeName="Sheet3"/>
  <dimension ref="A1:V45"/>
  <sheetViews>
    <sheetView workbookViewId="0">
      <selection activeCell="AA18" sqref="AA18"/>
    </sheetView>
  </sheetViews>
  <sheetFormatPr defaultColWidth="5.7109375" defaultRowHeight="12" customHeight="1" x14ac:dyDescent="0.2"/>
  <sheetData>
    <row r="1" spans="1:20" ht="12" customHeight="1" x14ac:dyDescent="0.2">
      <c r="A1" s="137"/>
      <c r="B1" s="137"/>
      <c r="C1" s="137"/>
      <c r="D1" s="137"/>
      <c r="E1" s="137"/>
      <c r="F1" s="251" t="s">
        <v>92</v>
      </c>
      <c r="G1" s="251"/>
      <c r="H1" s="251"/>
      <c r="I1" s="251"/>
      <c r="J1" s="251"/>
      <c r="K1" s="251"/>
      <c r="L1" s="251"/>
      <c r="M1" s="251"/>
      <c r="N1" s="251"/>
      <c r="O1" s="251"/>
      <c r="P1" s="251"/>
      <c r="Q1" s="251"/>
      <c r="R1" s="251"/>
      <c r="S1" s="251"/>
      <c r="T1" s="137"/>
    </row>
    <row r="2" spans="1:20" ht="12" customHeight="1" x14ac:dyDescent="0.2">
      <c r="A2" s="137"/>
      <c r="B2" s="137"/>
      <c r="C2" s="137"/>
      <c r="D2" s="137"/>
      <c r="E2" s="251" t="s">
        <v>93</v>
      </c>
      <c r="F2" s="251"/>
      <c r="G2" s="251"/>
      <c r="H2" s="251"/>
      <c r="I2" s="251"/>
      <c r="J2" s="251"/>
      <c r="K2" s="251"/>
      <c r="L2" s="251"/>
      <c r="M2" s="251"/>
      <c r="N2" s="251"/>
      <c r="O2" s="251"/>
      <c r="P2" s="251"/>
      <c r="Q2" s="251"/>
      <c r="R2" s="251"/>
      <c r="S2" s="251"/>
      <c r="T2" s="137"/>
    </row>
    <row r="3" spans="1:20" ht="12" customHeight="1" thickBot="1" x14ac:dyDescent="0.25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</row>
    <row r="4" spans="1:20" ht="12" customHeight="1" thickBot="1" x14ac:dyDescent="0.25">
      <c r="A4" s="137"/>
      <c r="B4" s="137"/>
      <c r="C4" s="139">
        <v>5</v>
      </c>
      <c r="D4" s="139">
        <v>10</v>
      </c>
      <c r="E4" s="139">
        <v>15</v>
      </c>
      <c r="F4" s="139">
        <v>20</v>
      </c>
      <c r="G4" s="139">
        <v>25</v>
      </c>
      <c r="H4" s="139">
        <v>30</v>
      </c>
      <c r="I4" s="139">
        <v>35</v>
      </c>
      <c r="J4" s="139">
        <v>40</v>
      </c>
      <c r="K4" s="139">
        <v>45</v>
      </c>
      <c r="L4" s="139">
        <v>50</v>
      </c>
      <c r="M4" s="139">
        <v>55</v>
      </c>
      <c r="N4" s="139">
        <v>60</v>
      </c>
      <c r="O4" s="139">
        <v>65</v>
      </c>
      <c r="P4" s="139">
        <v>70</v>
      </c>
      <c r="Q4" s="139">
        <v>75</v>
      </c>
      <c r="R4" s="139">
        <v>80</v>
      </c>
      <c r="S4" s="139">
        <v>85</v>
      </c>
      <c r="T4" s="139">
        <v>90</v>
      </c>
    </row>
    <row r="5" spans="1:20" ht="12" customHeight="1" thickBot="1" x14ac:dyDescent="0.25">
      <c r="A5" s="137"/>
      <c r="B5" s="137"/>
      <c r="C5" s="139">
        <v>175</v>
      </c>
      <c r="D5" s="139">
        <v>170</v>
      </c>
      <c r="E5" s="139">
        <v>165</v>
      </c>
      <c r="F5" s="139">
        <v>160</v>
      </c>
      <c r="G5" s="139">
        <v>155</v>
      </c>
      <c r="H5" s="139">
        <v>150</v>
      </c>
      <c r="I5" s="139">
        <v>145</v>
      </c>
      <c r="J5" s="139">
        <v>140</v>
      </c>
      <c r="K5" s="139">
        <v>135</v>
      </c>
      <c r="L5" s="139">
        <v>130</v>
      </c>
      <c r="M5" s="139">
        <v>125</v>
      </c>
      <c r="N5" s="139">
        <v>120</v>
      </c>
      <c r="O5" s="139">
        <v>115</v>
      </c>
      <c r="P5" s="139">
        <v>110</v>
      </c>
      <c r="Q5" s="139">
        <v>105</v>
      </c>
      <c r="R5" s="139">
        <v>100</v>
      </c>
      <c r="S5" s="139">
        <v>95</v>
      </c>
      <c r="T5" s="139">
        <v>90</v>
      </c>
    </row>
    <row r="6" spans="1:20" ht="12" customHeight="1" thickBot="1" x14ac:dyDescent="0.25">
      <c r="A6" s="137"/>
      <c r="B6" s="137"/>
      <c r="C6" s="139">
        <v>185</v>
      </c>
      <c r="D6" s="139">
        <v>190</v>
      </c>
      <c r="E6" s="139">
        <v>195</v>
      </c>
      <c r="F6" s="139">
        <v>200</v>
      </c>
      <c r="G6" s="139">
        <v>205</v>
      </c>
      <c r="H6" s="139">
        <v>210</v>
      </c>
      <c r="I6" s="139">
        <v>215</v>
      </c>
      <c r="J6" s="139">
        <v>220</v>
      </c>
      <c r="K6" s="139">
        <v>225</v>
      </c>
      <c r="L6" s="139">
        <v>230</v>
      </c>
      <c r="M6" s="139">
        <v>235</v>
      </c>
      <c r="N6" s="139">
        <v>240</v>
      </c>
      <c r="O6" s="139">
        <v>245</v>
      </c>
      <c r="P6" s="139">
        <v>250</v>
      </c>
      <c r="Q6" s="139">
        <v>255</v>
      </c>
      <c r="R6" s="139">
        <v>260</v>
      </c>
      <c r="S6" s="139">
        <v>265</v>
      </c>
      <c r="T6" s="139">
        <v>270</v>
      </c>
    </row>
    <row r="7" spans="1:20" ht="12" customHeight="1" thickBot="1" x14ac:dyDescent="0.25">
      <c r="A7" s="137"/>
      <c r="B7" s="137"/>
      <c r="C7" s="139">
        <v>355</v>
      </c>
      <c r="D7" s="139">
        <v>350</v>
      </c>
      <c r="E7" s="139">
        <v>345</v>
      </c>
      <c r="F7" s="139">
        <v>340</v>
      </c>
      <c r="G7" s="139">
        <v>335</v>
      </c>
      <c r="H7" s="139">
        <v>330</v>
      </c>
      <c r="I7" s="139">
        <v>325</v>
      </c>
      <c r="J7" s="139">
        <v>320</v>
      </c>
      <c r="K7" s="139">
        <v>315</v>
      </c>
      <c r="L7" s="139">
        <v>310</v>
      </c>
      <c r="M7" s="139">
        <v>305</v>
      </c>
      <c r="N7" s="139">
        <v>300</v>
      </c>
      <c r="O7" s="139">
        <v>295</v>
      </c>
      <c r="P7" s="139">
        <v>290</v>
      </c>
      <c r="Q7" s="139">
        <v>285</v>
      </c>
      <c r="R7" s="139">
        <v>280</v>
      </c>
      <c r="S7" s="139">
        <v>275</v>
      </c>
      <c r="T7" s="139">
        <v>270</v>
      </c>
    </row>
    <row r="8" spans="1:20" ht="12" customHeight="1" x14ac:dyDescent="0.2">
      <c r="A8" s="138" t="s">
        <v>94</v>
      </c>
      <c r="B8" s="140">
        <v>5</v>
      </c>
      <c r="C8" s="141">
        <v>5</v>
      </c>
      <c r="D8" s="142">
        <v>6</v>
      </c>
      <c r="E8" s="142">
        <v>8</v>
      </c>
      <c r="F8" s="142">
        <v>9</v>
      </c>
      <c r="G8" s="142">
        <v>10</v>
      </c>
      <c r="H8" s="142">
        <v>10</v>
      </c>
      <c r="I8" s="142">
        <v>11</v>
      </c>
      <c r="J8" s="142">
        <v>12</v>
      </c>
      <c r="K8" s="142">
        <v>12</v>
      </c>
      <c r="L8" s="142">
        <v>13</v>
      </c>
      <c r="M8" s="142">
        <v>14</v>
      </c>
      <c r="N8" s="142">
        <v>14</v>
      </c>
      <c r="O8" s="142">
        <v>14</v>
      </c>
      <c r="P8" s="142">
        <v>14</v>
      </c>
      <c r="Q8" s="142">
        <v>14</v>
      </c>
      <c r="R8" s="142">
        <v>15</v>
      </c>
      <c r="S8" s="142">
        <v>15</v>
      </c>
      <c r="T8" s="143">
        <v>15</v>
      </c>
    </row>
    <row r="9" spans="1:20" ht="12" customHeight="1" thickBot="1" x14ac:dyDescent="0.25">
      <c r="A9" s="138"/>
      <c r="B9" s="144"/>
      <c r="C9" s="145">
        <v>3</v>
      </c>
      <c r="D9" s="146">
        <v>4</v>
      </c>
      <c r="E9" s="146">
        <v>4</v>
      </c>
      <c r="F9" s="146">
        <v>5</v>
      </c>
      <c r="G9" s="146">
        <v>6</v>
      </c>
      <c r="H9" s="146">
        <v>7</v>
      </c>
      <c r="I9" s="146">
        <v>7</v>
      </c>
      <c r="J9" s="146">
        <v>7</v>
      </c>
      <c r="K9" s="146">
        <v>8</v>
      </c>
      <c r="L9" s="146">
        <v>8</v>
      </c>
      <c r="M9" s="146">
        <v>8</v>
      </c>
      <c r="N9" s="146">
        <v>9</v>
      </c>
      <c r="O9" s="146">
        <v>9</v>
      </c>
      <c r="P9" s="146">
        <v>9</v>
      </c>
      <c r="Q9" s="146">
        <v>9</v>
      </c>
      <c r="R9" s="146">
        <v>10</v>
      </c>
      <c r="S9" s="146">
        <v>10</v>
      </c>
      <c r="T9" s="147">
        <v>11</v>
      </c>
    </row>
    <row r="10" spans="1:20" ht="12" customHeight="1" x14ac:dyDescent="0.2">
      <c r="A10" s="138" t="s">
        <v>95</v>
      </c>
      <c r="B10" s="140">
        <v>10</v>
      </c>
      <c r="C10" s="148">
        <v>6</v>
      </c>
      <c r="D10" s="149">
        <v>9</v>
      </c>
      <c r="E10" s="149">
        <v>11</v>
      </c>
      <c r="F10" s="149">
        <v>12</v>
      </c>
      <c r="G10" s="149">
        <v>13</v>
      </c>
      <c r="H10" s="149">
        <v>15</v>
      </c>
      <c r="I10" s="149">
        <v>16</v>
      </c>
      <c r="J10" s="149">
        <v>17</v>
      </c>
      <c r="K10" s="149">
        <v>17</v>
      </c>
      <c r="L10" s="149">
        <v>18</v>
      </c>
      <c r="M10" s="149">
        <v>19</v>
      </c>
      <c r="N10" s="149">
        <v>19</v>
      </c>
      <c r="O10" s="149">
        <v>20</v>
      </c>
      <c r="P10" s="149">
        <v>20</v>
      </c>
      <c r="Q10" s="149">
        <v>20</v>
      </c>
      <c r="R10" s="149">
        <v>21</v>
      </c>
      <c r="S10" s="149">
        <v>21</v>
      </c>
      <c r="T10" s="150">
        <v>21</v>
      </c>
    </row>
    <row r="11" spans="1:20" ht="12" customHeight="1" thickBot="1" x14ac:dyDescent="0.25">
      <c r="A11" s="138"/>
      <c r="B11" s="144"/>
      <c r="C11" s="145">
        <v>4</v>
      </c>
      <c r="D11" s="146">
        <v>5</v>
      </c>
      <c r="E11" s="146">
        <v>6</v>
      </c>
      <c r="F11" s="146">
        <v>8</v>
      </c>
      <c r="G11" s="146">
        <v>9</v>
      </c>
      <c r="H11" s="146">
        <v>9</v>
      </c>
      <c r="I11" s="146">
        <v>10</v>
      </c>
      <c r="J11" s="146">
        <v>10</v>
      </c>
      <c r="K11" s="146">
        <v>11</v>
      </c>
      <c r="L11" s="146">
        <v>12</v>
      </c>
      <c r="M11" s="146">
        <v>12</v>
      </c>
      <c r="N11" s="146">
        <v>12</v>
      </c>
      <c r="O11" s="146">
        <v>12</v>
      </c>
      <c r="P11" s="146">
        <v>13</v>
      </c>
      <c r="Q11" s="146">
        <v>13</v>
      </c>
      <c r="R11" s="146">
        <v>13</v>
      </c>
      <c r="S11" s="146">
        <v>13</v>
      </c>
      <c r="T11" s="147">
        <v>13</v>
      </c>
    </row>
    <row r="12" spans="1:20" ht="12" customHeight="1" x14ac:dyDescent="0.2">
      <c r="A12" s="138" t="s">
        <v>96</v>
      </c>
      <c r="B12" s="140">
        <v>15</v>
      </c>
      <c r="C12" s="148">
        <v>8</v>
      </c>
      <c r="D12" s="149">
        <v>11</v>
      </c>
      <c r="E12" s="149">
        <v>13</v>
      </c>
      <c r="F12" s="149">
        <v>15</v>
      </c>
      <c r="G12" s="149">
        <v>16</v>
      </c>
      <c r="H12" s="149">
        <v>18</v>
      </c>
      <c r="I12" s="149">
        <v>18</v>
      </c>
      <c r="J12" s="149">
        <v>20</v>
      </c>
      <c r="K12" s="149">
        <v>21</v>
      </c>
      <c r="L12" s="149">
        <v>22</v>
      </c>
      <c r="M12" s="149">
        <v>23</v>
      </c>
      <c r="N12" s="149">
        <v>23</v>
      </c>
      <c r="O12" s="149">
        <v>24</v>
      </c>
      <c r="P12" s="149">
        <v>24</v>
      </c>
      <c r="Q12" s="149">
        <v>25</v>
      </c>
      <c r="R12" s="149">
        <v>25</v>
      </c>
      <c r="S12" s="149">
        <v>25</v>
      </c>
      <c r="T12" s="150">
        <v>25</v>
      </c>
    </row>
    <row r="13" spans="1:20" ht="12" customHeight="1" thickBot="1" x14ac:dyDescent="0.25">
      <c r="A13" s="138"/>
      <c r="B13" s="144"/>
      <c r="C13" s="145">
        <v>4</v>
      </c>
      <c r="D13" s="146">
        <v>6</v>
      </c>
      <c r="E13" s="146">
        <v>8</v>
      </c>
      <c r="F13" s="146">
        <v>9</v>
      </c>
      <c r="G13" s="146">
        <v>11</v>
      </c>
      <c r="H13" s="146">
        <v>11</v>
      </c>
      <c r="I13" s="146">
        <v>12</v>
      </c>
      <c r="J13" s="146">
        <v>13</v>
      </c>
      <c r="K13" s="146">
        <v>14</v>
      </c>
      <c r="L13" s="146">
        <v>14</v>
      </c>
      <c r="M13" s="146">
        <v>14</v>
      </c>
      <c r="N13" s="146">
        <v>15</v>
      </c>
      <c r="O13" s="146">
        <v>15</v>
      </c>
      <c r="P13" s="146">
        <v>16</v>
      </c>
      <c r="Q13" s="146">
        <v>16</v>
      </c>
      <c r="R13" s="146">
        <v>16</v>
      </c>
      <c r="S13" s="146">
        <v>16</v>
      </c>
      <c r="T13" s="147">
        <v>17</v>
      </c>
    </row>
    <row r="14" spans="1:20" ht="12" customHeight="1" x14ac:dyDescent="0.2">
      <c r="A14" s="138" t="s">
        <v>97</v>
      </c>
      <c r="B14" s="140">
        <v>20</v>
      </c>
      <c r="C14" s="148">
        <v>9</v>
      </c>
      <c r="D14" s="149">
        <v>12</v>
      </c>
      <c r="E14" s="149">
        <v>15</v>
      </c>
      <c r="F14" s="149">
        <v>17</v>
      </c>
      <c r="G14" s="149">
        <v>18</v>
      </c>
      <c r="H14" s="149">
        <v>21</v>
      </c>
      <c r="I14" s="149">
        <v>22</v>
      </c>
      <c r="J14" s="149">
        <v>23</v>
      </c>
      <c r="K14" s="149">
        <v>24</v>
      </c>
      <c r="L14" s="149">
        <v>25</v>
      </c>
      <c r="M14" s="149">
        <v>26</v>
      </c>
      <c r="N14" s="149">
        <v>27</v>
      </c>
      <c r="O14" s="149">
        <v>28</v>
      </c>
      <c r="P14" s="149">
        <v>28</v>
      </c>
      <c r="Q14" s="149">
        <v>29</v>
      </c>
      <c r="R14" s="149">
        <v>29</v>
      </c>
      <c r="S14" s="149">
        <v>29</v>
      </c>
      <c r="T14" s="150">
        <v>29</v>
      </c>
    </row>
    <row r="15" spans="1:20" ht="12" customHeight="1" thickBot="1" x14ac:dyDescent="0.25">
      <c r="A15" s="138"/>
      <c r="B15" s="144"/>
      <c r="C15" s="145">
        <v>7</v>
      </c>
      <c r="D15" s="146">
        <v>8</v>
      </c>
      <c r="E15" s="146">
        <v>9</v>
      </c>
      <c r="F15" s="146">
        <v>11</v>
      </c>
      <c r="G15" s="146">
        <v>12</v>
      </c>
      <c r="H15" s="146">
        <v>12</v>
      </c>
      <c r="I15" s="146">
        <v>14</v>
      </c>
      <c r="J15" s="146">
        <v>15</v>
      </c>
      <c r="K15" s="146">
        <v>16</v>
      </c>
      <c r="L15" s="146">
        <v>16</v>
      </c>
      <c r="M15" s="146">
        <v>17</v>
      </c>
      <c r="N15" s="146">
        <v>17</v>
      </c>
      <c r="O15" s="146">
        <v>17</v>
      </c>
      <c r="P15" s="146">
        <v>18</v>
      </c>
      <c r="Q15" s="146">
        <v>18</v>
      </c>
      <c r="R15" s="146">
        <v>18</v>
      </c>
      <c r="S15" s="146">
        <v>18</v>
      </c>
      <c r="T15" s="147">
        <v>18</v>
      </c>
    </row>
    <row r="16" spans="1:20" ht="12" customHeight="1" x14ac:dyDescent="0.2">
      <c r="A16" s="138" t="s">
        <v>94</v>
      </c>
      <c r="B16" s="140">
        <v>25</v>
      </c>
      <c r="C16" s="148">
        <v>11</v>
      </c>
      <c r="D16" s="149">
        <v>13</v>
      </c>
      <c r="E16" s="149">
        <v>16</v>
      </c>
      <c r="F16" s="149">
        <v>19</v>
      </c>
      <c r="G16" s="149">
        <v>21</v>
      </c>
      <c r="H16" s="149">
        <v>23</v>
      </c>
      <c r="I16" s="149">
        <v>24</v>
      </c>
      <c r="J16" s="149">
        <v>26</v>
      </c>
      <c r="K16" s="149">
        <v>27</v>
      </c>
      <c r="L16" s="149">
        <v>28</v>
      </c>
      <c r="M16" s="149">
        <v>29</v>
      </c>
      <c r="N16" s="149">
        <v>30</v>
      </c>
      <c r="O16" s="149">
        <v>31</v>
      </c>
      <c r="P16" s="149">
        <v>31</v>
      </c>
      <c r="Q16" s="149">
        <v>32</v>
      </c>
      <c r="R16" s="149">
        <v>32</v>
      </c>
      <c r="S16" s="149">
        <v>32</v>
      </c>
      <c r="T16" s="150">
        <v>32</v>
      </c>
    </row>
    <row r="17" spans="1:20" ht="12" customHeight="1" thickBot="1" x14ac:dyDescent="0.25">
      <c r="A17" s="138"/>
      <c r="B17" s="144"/>
      <c r="C17" s="145">
        <v>7</v>
      </c>
      <c r="D17" s="146">
        <v>9</v>
      </c>
      <c r="E17" s="146">
        <v>11</v>
      </c>
      <c r="F17" s="146">
        <v>12</v>
      </c>
      <c r="G17" s="146">
        <v>13</v>
      </c>
      <c r="H17" s="146">
        <v>14</v>
      </c>
      <c r="I17" s="146">
        <v>16</v>
      </c>
      <c r="J17" s="146">
        <v>16</v>
      </c>
      <c r="K17" s="146">
        <v>17</v>
      </c>
      <c r="L17" s="146">
        <v>18</v>
      </c>
      <c r="M17" s="146">
        <v>19</v>
      </c>
      <c r="N17" s="146">
        <v>19</v>
      </c>
      <c r="O17" s="146">
        <v>19</v>
      </c>
      <c r="P17" s="146">
        <v>20</v>
      </c>
      <c r="Q17" s="146">
        <v>20</v>
      </c>
      <c r="R17" s="146">
        <v>20</v>
      </c>
      <c r="S17" s="146">
        <v>20</v>
      </c>
      <c r="T17" s="147">
        <v>21</v>
      </c>
    </row>
    <row r="18" spans="1:20" ht="12" customHeight="1" x14ac:dyDescent="0.2">
      <c r="A18" s="138" t="s">
        <v>98</v>
      </c>
      <c r="B18" s="140">
        <v>30</v>
      </c>
      <c r="C18" s="148">
        <v>10</v>
      </c>
      <c r="D18" s="149">
        <v>15</v>
      </c>
      <c r="E18" s="149">
        <v>18</v>
      </c>
      <c r="F18" s="149">
        <v>21</v>
      </c>
      <c r="G18" s="149">
        <v>23</v>
      </c>
      <c r="H18" s="149">
        <v>25</v>
      </c>
      <c r="I18" s="149">
        <v>27</v>
      </c>
      <c r="J18" s="149">
        <v>28</v>
      </c>
      <c r="K18" s="149">
        <v>29</v>
      </c>
      <c r="L18" s="149">
        <v>31</v>
      </c>
      <c r="M18" s="149">
        <v>32</v>
      </c>
      <c r="N18" s="149">
        <v>33</v>
      </c>
      <c r="O18" s="149">
        <v>33</v>
      </c>
      <c r="P18" s="149">
        <v>34</v>
      </c>
      <c r="Q18" s="149">
        <v>34</v>
      </c>
      <c r="R18" s="149">
        <v>35</v>
      </c>
      <c r="S18" s="149">
        <v>35</v>
      </c>
      <c r="T18" s="150">
        <v>35</v>
      </c>
    </row>
    <row r="19" spans="1:20" ht="12" customHeight="1" thickBot="1" x14ac:dyDescent="0.25">
      <c r="A19" s="138"/>
      <c r="B19" s="144"/>
      <c r="C19" s="145">
        <v>7</v>
      </c>
      <c r="D19" s="146">
        <v>9</v>
      </c>
      <c r="E19" s="146">
        <v>11</v>
      </c>
      <c r="F19" s="146">
        <v>12</v>
      </c>
      <c r="G19" s="146">
        <v>14</v>
      </c>
      <c r="H19" s="146">
        <v>15</v>
      </c>
      <c r="I19" s="146">
        <v>16</v>
      </c>
      <c r="J19" s="146">
        <v>18</v>
      </c>
      <c r="K19" s="146">
        <v>19</v>
      </c>
      <c r="L19" s="146">
        <v>19</v>
      </c>
      <c r="M19" s="146">
        <v>19</v>
      </c>
      <c r="N19" s="146">
        <v>20</v>
      </c>
      <c r="O19" s="146">
        <v>21</v>
      </c>
      <c r="P19" s="146">
        <v>21</v>
      </c>
      <c r="Q19" s="146">
        <v>22</v>
      </c>
      <c r="R19" s="146">
        <v>22</v>
      </c>
      <c r="S19" s="146">
        <v>22</v>
      </c>
      <c r="T19" s="147">
        <v>22</v>
      </c>
    </row>
    <row r="20" spans="1:20" ht="12" customHeight="1" x14ac:dyDescent="0.2">
      <c r="A20" s="138" t="s">
        <v>94</v>
      </c>
      <c r="B20" s="140">
        <v>35</v>
      </c>
      <c r="C20" s="148">
        <v>11</v>
      </c>
      <c r="D20" s="149">
        <v>16</v>
      </c>
      <c r="E20" s="149">
        <v>19</v>
      </c>
      <c r="F20" s="149">
        <v>22</v>
      </c>
      <c r="G20" s="149">
        <v>24</v>
      </c>
      <c r="H20" s="149">
        <v>27</v>
      </c>
      <c r="I20" s="149">
        <v>28</v>
      </c>
      <c r="J20" s="149">
        <v>30</v>
      </c>
      <c r="K20" s="149">
        <v>32</v>
      </c>
      <c r="L20" s="149">
        <v>33</v>
      </c>
      <c r="M20" s="149">
        <v>34</v>
      </c>
      <c r="N20" s="149">
        <v>35</v>
      </c>
      <c r="O20" s="149">
        <v>36</v>
      </c>
      <c r="P20" s="149">
        <v>36</v>
      </c>
      <c r="Q20" s="149">
        <v>37</v>
      </c>
      <c r="R20" s="149">
        <v>37</v>
      </c>
      <c r="S20" s="149">
        <v>37</v>
      </c>
      <c r="T20" s="150">
        <v>38</v>
      </c>
    </row>
    <row r="21" spans="1:20" ht="12" customHeight="1" thickBot="1" x14ac:dyDescent="0.25">
      <c r="A21" s="138"/>
      <c r="B21" s="144"/>
      <c r="C21" s="145">
        <v>7</v>
      </c>
      <c r="D21" s="146">
        <v>10</v>
      </c>
      <c r="E21" s="146">
        <v>12</v>
      </c>
      <c r="F21" s="146">
        <v>14</v>
      </c>
      <c r="G21" s="146">
        <v>16</v>
      </c>
      <c r="H21" s="146">
        <v>16</v>
      </c>
      <c r="I21" s="146">
        <v>18</v>
      </c>
      <c r="J21" s="146">
        <v>19</v>
      </c>
      <c r="K21" s="146">
        <v>20</v>
      </c>
      <c r="L21" s="146">
        <v>21</v>
      </c>
      <c r="M21" s="146">
        <v>21</v>
      </c>
      <c r="N21" s="146">
        <v>22</v>
      </c>
      <c r="O21" s="146">
        <v>22</v>
      </c>
      <c r="P21" s="146">
        <v>23</v>
      </c>
      <c r="Q21" s="146">
        <v>23</v>
      </c>
      <c r="R21" s="146">
        <v>24</v>
      </c>
      <c r="S21" s="146">
        <v>24</v>
      </c>
      <c r="T21" s="147">
        <v>24</v>
      </c>
    </row>
    <row r="22" spans="1:20" ht="12" customHeight="1" x14ac:dyDescent="0.2">
      <c r="A22" s="138"/>
      <c r="B22" s="140">
        <v>40</v>
      </c>
      <c r="C22" s="148">
        <v>12</v>
      </c>
      <c r="D22" s="149">
        <v>17</v>
      </c>
      <c r="E22" s="149">
        <v>20</v>
      </c>
      <c r="F22" s="149">
        <v>23</v>
      </c>
      <c r="G22" s="149">
        <v>26</v>
      </c>
      <c r="H22" s="149">
        <v>28</v>
      </c>
      <c r="I22" s="149">
        <v>30</v>
      </c>
      <c r="J22" s="149">
        <v>32</v>
      </c>
      <c r="K22" s="149">
        <v>33</v>
      </c>
      <c r="L22" s="149">
        <v>35</v>
      </c>
      <c r="M22" s="149">
        <v>36</v>
      </c>
      <c r="N22" s="149">
        <v>37</v>
      </c>
      <c r="O22" s="149">
        <v>38</v>
      </c>
      <c r="P22" s="149">
        <v>39</v>
      </c>
      <c r="Q22" s="149">
        <v>39</v>
      </c>
      <c r="R22" s="149">
        <v>39</v>
      </c>
      <c r="S22" s="149">
        <v>40</v>
      </c>
      <c r="T22" s="150">
        <v>40</v>
      </c>
    </row>
    <row r="23" spans="1:20" ht="12" customHeight="1" thickBot="1" x14ac:dyDescent="0.25">
      <c r="A23" s="138" t="s">
        <v>97</v>
      </c>
      <c r="B23" s="144"/>
      <c r="C23" s="145">
        <v>7</v>
      </c>
      <c r="D23" s="146">
        <v>10</v>
      </c>
      <c r="E23" s="146">
        <v>13</v>
      </c>
      <c r="F23" s="146">
        <v>15</v>
      </c>
      <c r="G23" s="146">
        <v>16</v>
      </c>
      <c r="H23" s="146">
        <v>18</v>
      </c>
      <c r="I23" s="146">
        <v>19</v>
      </c>
      <c r="J23" s="146">
        <v>20</v>
      </c>
      <c r="K23" s="146">
        <v>22</v>
      </c>
      <c r="L23" s="146">
        <v>22</v>
      </c>
      <c r="M23" s="146">
        <v>23</v>
      </c>
      <c r="N23" s="146">
        <v>23</v>
      </c>
      <c r="O23" s="146">
        <v>24</v>
      </c>
      <c r="P23" s="146">
        <v>24</v>
      </c>
      <c r="Q23" s="146">
        <v>25</v>
      </c>
      <c r="R23" s="146">
        <v>25</v>
      </c>
      <c r="S23" s="146">
        <v>25</v>
      </c>
      <c r="T23" s="147">
        <v>25</v>
      </c>
    </row>
    <row r="24" spans="1:20" ht="12" customHeight="1" x14ac:dyDescent="0.2">
      <c r="A24" s="138"/>
      <c r="B24" s="140">
        <v>45</v>
      </c>
      <c r="C24" s="148">
        <v>12</v>
      </c>
      <c r="D24" s="149">
        <v>17</v>
      </c>
      <c r="E24" s="149">
        <v>21</v>
      </c>
      <c r="F24" s="149">
        <v>24</v>
      </c>
      <c r="G24" s="149">
        <v>27</v>
      </c>
      <c r="H24" s="149">
        <v>29</v>
      </c>
      <c r="I24" s="149">
        <v>32</v>
      </c>
      <c r="J24" s="149">
        <v>33</v>
      </c>
      <c r="K24" s="149">
        <v>35</v>
      </c>
      <c r="L24" s="149">
        <v>37</v>
      </c>
      <c r="M24" s="149">
        <v>38</v>
      </c>
      <c r="N24" s="149">
        <v>39</v>
      </c>
      <c r="O24" s="149">
        <v>40</v>
      </c>
      <c r="P24" s="149">
        <v>40</v>
      </c>
      <c r="Q24" s="149">
        <v>41</v>
      </c>
      <c r="R24" s="149">
        <v>41</v>
      </c>
      <c r="S24" s="149">
        <v>42</v>
      </c>
      <c r="T24" s="150">
        <v>42</v>
      </c>
    </row>
    <row r="25" spans="1:20" ht="12" customHeight="1" thickBot="1" x14ac:dyDescent="0.25">
      <c r="A25" s="138" t="s">
        <v>39</v>
      </c>
      <c r="B25" s="144"/>
      <c r="C25" s="145">
        <v>8</v>
      </c>
      <c r="D25" s="146">
        <v>11</v>
      </c>
      <c r="E25" s="146">
        <v>14</v>
      </c>
      <c r="F25" s="146">
        <v>16</v>
      </c>
      <c r="G25" s="146">
        <v>17</v>
      </c>
      <c r="H25" s="146">
        <v>19</v>
      </c>
      <c r="I25" s="146">
        <v>20</v>
      </c>
      <c r="J25" s="146">
        <v>22</v>
      </c>
      <c r="K25" s="146">
        <v>22</v>
      </c>
      <c r="L25" s="146">
        <v>23</v>
      </c>
      <c r="M25" s="146">
        <v>24</v>
      </c>
      <c r="N25" s="146">
        <v>24</v>
      </c>
      <c r="O25" s="146">
        <v>25</v>
      </c>
      <c r="P25" s="146">
        <v>26</v>
      </c>
      <c r="Q25" s="146">
        <v>26</v>
      </c>
      <c r="R25" s="146">
        <v>27</v>
      </c>
      <c r="S25" s="146">
        <v>27</v>
      </c>
      <c r="T25" s="147">
        <v>27</v>
      </c>
    </row>
    <row r="26" spans="1:20" ht="12" customHeight="1" x14ac:dyDescent="0.2">
      <c r="A26" s="138"/>
      <c r="B26" s="140">
        <v>50</v>
      </c>
      <c r="C26" s="148">
        <v>13</v>
      </c>
      <c r="D26" s="149">
        <v>18</v>
      </c>
      <c r="E26" s="149">
        <v>22</v>
      </c>
      <c r="F26" s="149">
        <v>25</v>
      </c>
      <c r="G26" s="149">
        <v>28</v>
      </c>
      <c r="H26" s="149">
        <v>31</v>
      </c>
      <c r="I26" s="149">
        <v>33</v>
      </c>
      <c r="J26" s="149">
        <v>35</v>
      </c>
      <c r="K26" s="149">
        <v>37</v>
      </c>
      <c r="L26" s="149">
        <v>38</v>
      </c>
      <c r="M26" s="149">
        <v>39</v>
      </c>
      <c r="N26" s="149">
        <v>40</v>
      </c>
      <c r="O26" s="149">
        <v>41</v>
      </c>
      <c r="P26" s="149">
        <v>42</v>
      </c>
      <c r="Q26" s="149">
        <v>43</v>
      </c>
      <c r="R26" s="149">
        <v>43</v>
      </c>
      <c r="S26" s="149">
        <v>43</v>
      </c>
      <c r="T26" s="150">
        <v>43</v>
      </c>
    </row>
    <row r="27" spans="1:20" ht="12" customHeight="1" thickBot="1" x14ac:dyDescent="0.25">
      <c r="A27" s="138" t="s">
        <v>99</v>
      </c>
      <c r="B27" s="144"/>
      <c r="C27" s="145">
        <v>8</v>
      </c>
      <c r="D27" s="146">
        <v>12</v>
      </c>
      <c r="E27" s="146">
        <v>14</v>
      </c>
      <c r="F27" s="146">
        <v>16</v>
      </c>
      <c r="G27" s="146">
        <v>18</v>
      </c>
      <c r="H27" s="146">
        <v>19</v>
      </c>
      <c r="I27" s="146">
        <v>21</v>
      </c>
      <c r="J27" s="146">
        <v>22</v>
      </c>
      <c r="K27" s="146">
        <v>23</v>
      </c>
      <c r="L27" s="146">
        <v>24</v>
      </c>
      <c r="M27" s="146">
        <v>25</v>
      </c>
      <c r="N27" s="146">
        <v>26</v>
      </c>
      <c r="O27" s="146">
        <v>26</v>
      </c>
      <c r="P27" s="146">
        <v>27</v>
      </c>
      <c r="Q27" s="146">
        <v>27</v>
      </c>
      <c r="R27" s="146">
        <v>27</v>
      </c>
      <c r="S27" s="146">
        <v>28</v>
      </c>
      <c r="T27" s="147">
        <v>28</v>
      </c>
    </row>
    <row r="28" spans="1:20" ht="12" customHeight="1" x14ac:dyDescent="0.2">
      <c r="A28" s="138"/>
      <c r="B28" s="140">
        <v>55</v>
      </c>
      <c r="C28" s="148">
        <v>13</v>
      </c>
      <c r="D28" s="149">
        <v>19</v>
      </c>
      <c r="E28" s="149">
        <v>23</v>
      </c>
      <c r="F28" s="149">
        <v>26</v>
      </c>
      <c r="G28" s="149">
        <v>29</v>
      </c>
      <c r="H28" s="149">
        <v>32</v>
      </c>
      <c r="I28" s="149">
        <v>34</v>
      </c>
      <c r="J28" s="149">
        <v>36</v>
      </c>
      <c r="K28" s="149">
        <v>38</v>
      </c>
      <c r="L28" s="149">
        <v>39</v>
      </c>
      <c r="M28" s="149">
        <v>41</v>
      </c>
      <c r="N28" s="149">
        <v>42</v>
      </c>
      <c r="O28" s="149">
        <v>43</v>
      </c>
      <c r="P28" s="149">
        <v>44</v>
      </c>
      <c r="Q28" s="149">
        <v>44</v>
      </c>
      <c r="R28" s="149">
        <v>45</v>
      </c>
      <c r="S28" s="149">
        <v>45</v>
      </c>
      <c r="T28" s="150">
        <v>45</v>
      </c>
    </row>
    <row r="29" spans="1:20" ht="12" customHeight="1" thickBot="1" x14ac:dyDescent="0.25">
      <c r="A29" s="138" t="s">
        <v>100</v>
      </c>
      <c r="B29" s="144"/>
      <c r="C29" s="145">
        <v>9</v>
      </c>
      <c r="D29" s="146">
        <v>12</v>
      </c>
      <c r="E29" s="146">
        <v>14</v>
      </c>
      <c r="F29" s="146">
        <v>17</v>
      </c>
      <c r="G29" s="146">
        <v>19</v>
      </c>
      <c r="H29" s="146">
        <v>20</v>
      </c>
      <c r="I29" s="146">
        <v>21</v>
      </c>
      <c r="J29" s="146">
        <v>23</v>
      </c>
      <c r="K29" s="146">
        <v>24</v>
      </c>
      <c r="L29" s="146">
        <v>25</v>
      </c>
      <c r="M29" s="146">
        <v>25</v>
      </c>
      <c r="N29" s="146">
        <v>26</v>
      </c>
      <c r="O29" s="146">
        <v>27</v>
      </c>
      <c r="P29" s="146">
        <v>27</v>
      </c>
      <c r="Q29" s="146">
        <v>28</v>
      </c>
      <c r="R29" s="146">
        <v>28</v>
      </c>
      <c r="S29" s="146">
        <v>28</v>
      </c>
      <c r="T29" s="147">
        <v>28</v>
      </c>
    </row>
    <row r="30" spans="1:20" ht="12" customHeight="1" x14ac:dyDescent="0.2">
      <c r="A30" s="138"/>
      <c r="B30" s="140">
        <v>60</v>
      </c>
      <c r="C30" s="148">
        <v>14</v>
      </c>
      <c r="D30" s="149">
        <v>19</v>
      </c>
      <c r="E30" s="149">
        <v>23</v>
      </c>
      <c r="F30" s="149">
        <v>27</v>
      </c>
      <c r="G30" s="149">
        <v>30</v>
      </c>
      <c r="H30" s="149">
        <v>33</v>
      </c>
      <c r="I30" s="149">
        <v>35</v>
      </c>
      <c r="J30" s="149">
        <v>37</v>
      </c>
      <c r="K30" s="149">
        <v>39</v>
      </c>
      <c r="L30" s="149">
        <v>40</v>
      </c>
      <c r="M30" s="149">
        <v>42</v>
      </c>
      <c r="N30" s="149">
        <v>43</v>
      </c>
      <c r="O30" s="149">
        <v>44</v>
      </c>
      <c r="P30" s="149">
        <v>45</v>
      </c>
      <c r="Q30" s="149">
        <v>45</v>
      </c>
      <c r="R30" s="149">
        <v>46</v>
      </c>
      <c r="S30" s="149">
        <v>46</v>
      </c>
      <c r="T30" s="150">
        <v>46</v>
      </c>
    </row>
    <row r="31" spans="1:20" ht="12" customHeight="1" thickBot="1" x14ac:dyDescent="0.25">
      <c r="A31" s="138" t="s">
        <v>97</v>
      </c>
      <c r="B31" s="144"/>
      <c r="C31" s="145">
        <v>9</v>
      </c>
      <c r="D31" s="146">
        <v>12</v>
      </c>
      <c r="E31" s="146">
        <v>15</v>
      </c>
      <c r="F31" s="146">
        <v>17</v>
      </c>
      <c r="G31" s="146">
        <v>19</v>
      </c>
      <c r="H31" s="146">
        <v>20</v>
      </c>
      <c r="I31" s="146">
        <v>22</v>
      </c>
      <c r="J31" s="146">
        <v>23</v>
      </c>
      <c r="K31" s="146">
        <v>24</v>
      </c>
      <c r="L31" s="146">
        <v>26</v>
      </c>
      <c r="M31" s="146">
        <v>26</v>
      </c>
      <c r="N31" s="146">
        <v>27</v>
      </c>
      <c r="O31" s="146">
        <v>28</v>
      </c>
      <c r="P31" s="146">
        <v>28</v>
      </c>
      <c r="Q31" s="146">
        <v>29</v>
      </c>
      <c r="R31" s="146">
        <v>29</v>
      </c>
      <c r="S31" s="146">
        <v>29</v>
      </c>
      <c r="T31" s="147">
        <v>29</v>
      </c>
    </row>
    <row r="32" spans="1:20" ht="12" customHeight="1" x14ac:dyDescent="0.2">
      <c r="A32" s="138"/>
      <c r="B32" s="140">
        <v>65</v>
      </c>
      <c r="C32" s="148">
        <v>14</v>
      </c>
      <c r="D32" s="149">
        <v>20</v>
      </c>
      <c r="E32" s="149">
        <v>24</v>
      </c>
      <c r="F32" s="149">
        <v>28</v>
      </c>
      <c r="G32" s="149">
        <v>31</v>
      </c>
      <c r="H32" s="149">
        <v>33</v>
      </c>
      <c r="I32" s="149">
        <v>36</v>
      </c>
      <c r="J32" s="149">
        <v>38</v>
      </c>
      <c r="K32" s="149">
        <v>40</v>
      </c>
      <c r="L32" s="149">
        <v>41</v>
      </c>
      <c r="M32" s="149">
        <v>43</v>
      </c>
      <c r="N32" s="149">
        <v>44</v>
      </c>
      <c r="O32" s="149">
        <v>45</v>
      </c>
      <c r="P32" s="149">
        <v>46</v>
      </c>
      <c r="Q32" s="149">
        <v>46</v>
      </c>
      <c r="R32" s="149">
        <v>47</v>
      </c>
      <c r="S32" s="149">
        <v>47</v>
      </c>
      <c r="T32" s="150">
        <v>47</v>
      </c>
    </row>
    <row r="33" spans="1:22" ht="12" customHeight="1" thickBot="1" x14ac:dyDescent="0.25">
      <c r="A33" s="138" t="s">
        <v>39</v>
      </c>
      <c r="B33" s="144"/>
      <c r="C33" s="145">
        <v>9</v>
      </c>
      <c r="D33" s="146">
        <v>12</v>
      </c>
      <c r="E33" s="146">
        <v>15</v>
      </c>
      <c r="F33" s="146">
        <v>17</v>
      </c>
      <c r="G33" s="146">
        <v>19</v>
      </c>
      <c r="H33" s="146">
        <v>21</v>
      </c>
      <c r="I33" s="146">
        <v>22</v>
      </c>
      <c r="J33" s="146">
        <v>24</v>
      </c>
      <c r="K33" s="146">
        <v>25</v>
      </c>
      <c r="L33" s="146">
        <v>26</v>
      </c>
      <c r="M33" s="146">
        <v>27</v>
      </c>
      <c r="N33" s="146">
        <v>28</v>
      </c>
      <c r="O33" s="146">
        <v>28</v>
      </c>
      <c r="P33" s="146">
        <v>29</v>
      </c>
      <c r="Q33" s="146">
        <v>30</v>
      </c>
      <c r="R33" s="146">
        <v>30</v>
      </c>
      <c r="S33" s="146">
        <v>30</v>
      </c>
      <c r="T33" s="147">
        <v>30</v>
      </c>
    </row>
    <row r="34" spans="1:22" ht="12" customHeight="1" x14ac:dyDescent="0.2">
      <c r="A34" s="138"/>
      <c r="B34" s="140">
        <v>70</v>
      </c>
      <c r="C34" s="148">
        <v>14</v>
      </c>
      <c r="D34" s="149">
        <v>20</v>
      </c>
      <c r="E34" s="149">
        <v>24</v>
      </c>
      <c r="F34" s="149">
        <v>28</v>
      </c>
      <c r="G34" s="149">
        <v>31</v>
      </c>
      <c r="H34" s="149">
        <v>34</v>
      </c>
      <c r="I34" s="149">
        <v>36</v>
      </c>
      <c r="J34" s="149">
        <v>39</v>
      </c>
      <c r="K34" s="149">
        <v>40</v>
      </c>
      <c r="L34" s="149">
        <v>42</v>
      </c>
      <c r="M34" s="149">
        <v>44</v>
      </c>
      <c r="N34" s="149">
        <v>45</v>
      </c>
      <c r="O34" s="149">
        <v>46</v>
      </c>
      <c r="P34" s="149">
        <v>47</v>
      </c>
      <c r="Q34" s="149">
        <v>47</v>
      </c>
      <c r="R34" s="149">
        <v>48</v>
      </c>
      <c r="S34" s="149">
        <v>48</v>
      </c>
      <c r="T34" s="150">
        <v>48</v>
      </c>
    </row>
    <row r="35" spans="1:22" ht="12" customHeight="1" thickBot="1" x14ac:dyDescent="0.25">
      <c r="A35" s="138" t="s">
        <v>95</v>
      </c>
      <c r="B35" s="144"/>
      <c r="C35" s="145">
        <v>9</v>
      </c>
      <c r="D35" s="146">
        <v>13</v>
      </c>
      <c r="E35" s="146">
        <v>16</v>
      </c>
      <c r="F35" s="146">
        <v>18</v>
      </c>
      <c r="G35" s="146">
        <v>20</v>
      </c>
      <c r="H35" s="146">
        <v>21</v>
      </c>
      <c r="I35" s="146">
        <v>23</v>
      </c>
      <c r="J35" s="146">
        <v>24</v>
      </c>
      <c r="K35" s="146">
        <v>26</v>
      </c>
      <c r="L35" s="146">
        <v>27</v>
      </c>
      <c r="M35" s="146">
        <v>27</v>
      </c>
      <c r="N35" s="146">
        <v>28</v>
      </c>
      <c r="O35" s="146">
        <v>29</v>
      </c>
      <c r="P35" s="146">
        <v>29</v>
      </c>
      <c r="Q35" s="146">
        <v>30</v>
      </c>
      <c r="R35" s="146">
        <v>30</v>
      </c>
      <c r="S35" s="146">
        <v>30</v>
      </c>
      <c r="T35" s="147">
        <v>30</v>
      </c>
    </row>
    <row r="36" spans="1:22" ht="12" customHeight="1" x14ac:dyDescent="0.2">
      <c r="A36" s="138"/>
      <c r="B36" s="140">
        <v>75</v>
      </c>
      <c r="C36" s="148">
        <v>14</v>
      </c>
      <c r="D36" s="149">
        <v>20</v>
      </c>
      <c r="E36" s="149">
        <v>25</v>
      </c>
      <c r="F36" s="149">
        <v>29</v>
      </c>
      <c r="G36" s="149">
        <v>32</v>
      </c>
      <c r="H36" s="149">
        <v>34</v>
      </c>
      <c r="I36" s="149">
        <v>37</v>
      </c>
      <c r="J36" s="149">
        <v>39</v>
      </c>
      <c r="K36" s="149">
        <v>41</v>
      </c>
      <c r="L36" s="149">
        <v>43</v>
      </c>
      <c r="M36" s="149">
        <v>44</v>
      </c>
      <c r="N36" s="149">
        <v>45</v>
      </c>
      <c r="O36" s="149">
        <v>46</v>
      </c>
      <c r="P36" s="149">
        <v>47</v>
      </c>
      <c r="Q36" s="149">
        <v>48</v>
      </c>
      <c r="R36" s="149">
        <v>48</v>
      </c>
      <c r="S36" s="149">
        <v>49</v>
      </c>
      <c r="T36" s="150">
        <v>49</v>
      </c>
    </row>
    <row r="37" spans="1:22" ht="12" customHeight="1" thickBot="1" x14ac:dyDescent="0.25">
      <c r="A37" s="138" t="s">
        <v>101</v>
      </c>
      <c r="B37" s="144"/>
      <c r="C37" s="145">
        <v>9</v>
      </c>
      <c r="D37" s="146">
        <v>13</v>
      </c>
      <c r="E37" s="146">
        <v>16</v>
      </c>
      <c r="F37" s="146">
        <v>18</v>
      </c>
      <c r="G37" s="146">
        <v>20</v>
      </c>
      <c r="H37" s="146">
        <v>22</v>
      </c>
      <c r="I37" s="146">
        <v>23</v>
      </c>
      <c r="J37" s="146">
        <v>25</v>
      </c>
      <c r="K37" s="146">
        <v>26</v>
      </c>
      <c r="L37" s="146">
        <v>27</v>
      </c>
      <c r="M37" s="146">
        <v>28</v>
      </c>
      <c r="N37" s="146">
        <v>29</v>
      </c>
      <c r="O37" s="146">
        <v>30</v>
      </c>
      <c r="P37" s="146">
        <v>30</v>
      </c>
      <c r="Q37" s="146">
        <v>30</v>
      </c>
      <c r="R37" s="146">
        <v>31</v>
      </c>
      <c r="S37" s="146">
        <v>30</v>
      </c>
      <c r="T37" s="147">
        <v>30</v>
      </c>
    </row>
    <row r="38" spans="1:22" ht="12" customHeight="1" x14ac:dyDescent="0.2">
      <c r="A38" s="138"/>
      <c r="B38" s="140">
        <v>80</v>
      </c>
      <c r="C38" s="148">
        <v>15</v>
      </c>
      <c r="D38" s="149">
        <v>21</v>
      </c>
      <c r="E38" s="149">
        <v>25</v>
      </c>
      <c r="F38" s="149">
        <v>29</v>
      </c>
      <c r="G38" s="149">
        <v>32</v>
      </c>
      <c r="H38" s="149">
        <v>35</v>
      </c>
      <c r="I38" s="149">
        <v>37</v>
      </c>
      <c r="J38" s="149">
        <v>39</v>
      </c>
      <c r="K38" s="149">
        <v>41</v>
      </c>
      <c r="L38" s="149">
        <v>43</v>
      </c>
      <c r="M38" s="149">
        <v>45</v>
      </c>
      <c r="N38" s="149">
        <v>46</v>
      </c>
      <c r="O38" s="149">
        <v>47</v>
      </c>
      <c r="P38" s="149">
        <v>48</v>
      </c>
      <c r="Q38" s="149">
        <v>48</v>
      </c>
      <c r="R38" s="149">
        <v>49</v>
      </c>
      <c r="S38" s="149">
        <v>49</v>
      </c>
      <c r="T38" s="150">
        <v>49</v>
      </c>
    </row>
    <row r="39" spans="1:22" ht="12" customHeight="1" thickBot="1" x14ac:dyDescent="0.25">
      <c r="A39" s="138" t="s">
        <v>97</v>
      </c>
      <c r="B39" s="144"/>
      <c r="C39" s="145">
        <v>9</v>
      </c>
      <c r="D39" s="146">
        <v>13</v>
      </c>
      <c r="E39" s="146">
        <v>16</v>
      </c>
      <c r="F39" s="146">
        <v>18</v>
      </c>
      <c r="G39" s="146">
        <v>20</v>
      </c>
      <c r="H39" s="146">
        <v>22</v>
      </c>
      <c r="I39" s="146">
        <v>24</v>
      </c>
      <c r="J39" s="146">
        <v>25</v>
      </c>
      <c r="K39" s="146">
        <v>27</v>
      </c>
      <c r="L39" s="146">
        <v>27</v>
      </c>
      <c r="M39" s="146">
        <v>28</v>
      </c>
      <c r="N39" s="146">
        <v>29</v>
      </c>
      <c r="O39" s="146">
        <v>29</v>
      </c>
      <c r="P39" s="146">
        <v>30</v>
      </c>
      <c r="Q39" s="146">
        <v>31</v>
      </c>
      <c r="R39" s="146">
        <v>31</v>
      </c>
      <c r="S39" s="146">
        <v>31</v>
      </c>
      <c r="T39" s="147">
        <v>31</v>
      </c>
    </row>
    <row r="40" spans="1:22" ht="12" customHeight="1" x14ac:dyDescent="0.2">
      <c r="A40" s="138"/>
      <c r="B40" s="140">
        <v>85</v>
      </c>
      <c r="C40" s="148">
        <v>15</v>
      </c>
      <c r="D40" s="149">
        <v>21</v>
      </c>
      <c r="E40" s="149">
        <v>25</v>
      </c>
      <c r="F40" s="149">
        <v>29</v>
      </c>
      <c r="G40" s="149">
        <v>32</v>
      </c>
      <c r="H40" s="149">
        <v>35</v>
      </c>
      <c r="I40" s="149">
        <v>37</v>
      </c>
      <c r="J40" s="149">
        <v>40</v>
      </c>
      <c r="K40" s="149">
        <v>42</v>
      </c>
      <c r="L40" s="149">
        <v>43</v>
      </c>
      <c r="M40" s="149">
        <v>45</v>
      </c>
      <c r="N40" s="149">
        <v>46</v>
      </c>
      <c r="O40" s="149">
        <v>47</v>
      </c>
      <c r="P40" s="149">
        <v>48</v>
      </c>
      <c r="Q40" s="149">
        <v>49</v>
      </c>
      <c r="R40" s="149">
        <v>49</v>
      </c>
      <c r="S40" s="149">
        <v>49</v>
      </c>
      <c r="T40" s="150">
        <v>49</v>
      </c>
    </row>
    <row r="41" spans="1:22" ht="12" customHeight="1" thickBot="1" x14ac:dyDescent="0.25">
      <c r="A41" s="138" t="s">
        <v>102</v>
      </c>
      <c r="B41" s="144"/>
      <c r="C41" s="145">
        <v>9</v>
      </c>
      <c r="D41" s="146">
        <v>13</v>
      </c>
      <c r="E41" s="146">
        <v>16</v>
      </c>
      <c r="F41" s="146">
        <v>18</v>
      </c>
      <c r="G41" s="146">
        <v>20</v>
      </c>
      <c r="H41" s="146">
        <v>22</v>
      </c>
      <c r="I41" s="146">
        <v>24</v>
      </c>
      <c r="J41" s="146">
        <v>25</v>
      </c>
      <c r="K41" s="146">
        <v>26</v>
      </c>
      <c r="L41" s="146">
        <v>28</v>
      </c>
      <c r="M41" s="146">
        <v>28</v>
      </c>
      <c r="N41" s="146">
        <v>29</v>
      </c>
      <c r="O41" s="146">
        <v>30</v>
      </c>
      <c r="P41" s="146">
        <v>30</v>
      </c>
      <c r="Q41" s="146">
        <v>31</v>
      </c>
      <c r="R41" s="146">
        <v>31</v>
      </c>
      <c r="S41" s="146">
        <v>32</v>
      </c>
      <c r="T41" s="147">
        <v>32</v>
      </c>
    </row>
    <row r="42" spans="1:22" ht="12" customHeight="1" x14ac:dyDescent="0.2">
      <c r="A42" s="138"/>
      <c r="B42" s="140">
        <v>90</v>
      </c>
      <c r="C42" s="148">
        <v>15</v>
      </c>
      <c r="D42" s="149">
        <v>21</v>
      </c>
      <c r="E42" s="149">
        <v>25</v>
      </c>
      <c r="F42" s="149">
        <v>29</v>
      </c>
      <c r="G42" s="149">
        <v>32</v>
      </c>
      <c r="H42" s="149">
        <v>35</v>
      </c>
      <c r="I42" s="149">
        <v>38</v>
      </c>
      <c r="J42" s="149">
        <v>40</v>
      </c>
      <c r="K42" s="149">
        <v>42</v>
      </c>
      <c r="L42" s="149">
        <v>43</v>
      </c>
      <c r="M42" s="149">
        <v>45</v>
      </c>
      <c r="N42" s="149">
        <v>46</v>
      </c>
      <c r="O42" s="149">
        <v>47</v>
      </c>
      <c r="P42" s="149">
        <v>48</v>
      </c>
      <c r="Q42" s="149">
        <v>49</v>
      </c>
      <c r="R42" s="149">
        <v>49</v>
      </c>
      <c r="S42" s="149">
        <v>49</v>
      </c>
      <c r="T42" s="150">
        <v>50</v>
      </c>
    </row>
    <row r="43" spans="1:22" ht="12" customHeight="1" thickBot="1" x14ac:dyDescent="0.25">
      <c r="A43" s="138" t="s">
        <v>39</v>
      </c>
      <c r="B43" s="144"/>
      <c r="C43" s="151">
        <v>9</v>
      </c>
      <c r="D43" s="152">
        <v>13</v>
      </c>
      <c r="E43" s="152">
        <v>16</v>
      </c>
      <c r="F43" s="152">
        <v>18</v>
      </c>
      <c r="G43" s="152">
        <v>21</v>
      </c>
      <c r="H43" s="152">
        <v>22</v>
      </c>
      <c r="I43" s="152">
        <v>24</v>
      </c>
      <c r="J43" s="152">
        <v>25</v>
      </c>
      <c r="K43" s="152">
        <v>26</v>
      </c>
      <c r="L43" s="152">
        <v>28</v>
      </c>
      <c r="M43" s="152">
        <v>28</v>
      </c>
      <c r="N43" s="152">
        <v>29</v>
      </c>
      <c r="O43" s="152">
        <v>30</v>
      </c>
      <c r="P43" s="152">
        <v>30</v>
      </c>
      <c r="Q43" s="152">
        <v>31</v>
      </c>
      <c r="R43" s="152">
        <v>31</v>
      </c>
      <c r="S43" s="152">
        <v>32</v>
      </c>
      <c r="T43" s="153">
        <v>32</v>
      </c>
    </row>
    <row r="44" spans="1:22" ht="12" customHeight="1" x14ac:dyDescent="0.2">
      <c r="A44" s="137"/>
      <c r="B44" s="154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</row>
    <row r="45" spans="1:22" ht="12" customHeight="1" x14ac:dyDescent="0.2">
      <c r="A45" s="252" t="s">
        <v>103</v>
      </c>
      <c r="B45" s="252"/>
      <c r="C45" s="252"/>
      <c r="D45" s="252"/>
      <c r="E45" s="252"/>
      <c r="F45" s="252"/>
      <c r="G45" s="252"/>
      <c r="H45" s="252"/>
      <c r="I45" s="137"/>
      <c r="J45" s="253" t="s">
        <v>104</v>
      </c>
      <c r="K45" s="253"/>
      <c r="L45" s="253"/>
      <c r="M45" s="253"/>
      <c r="N45" s="253"/>
      <c r="O45" s="253"/>
      <c r="P45" s="253"/>
      <c r="Q45" s="253"/>
      <c r="R45" s="253"/>
      <c r="S45" s="253"/>
      <c r="T45" s="253"/>
      <c r="U45" s="253"/>
      <c r="V45" s="253"/>
    </row>
  </sheetData>
  <mergeCells count="4">
    <mergeCell ref="F1:S1"/>
    <mergeCell ref="E2:S2"/>
    <mergeCell ref="A45:H45"/>
    <mergeCell ref="J45:V4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BEA19-E55A-4B02-9144-B728EE698C59}">
  <sheetPr codeName="Sheet2"/>
  <dimension ref="A1:V212"/>
  <sheetViews>
    <sheetView topLeftCell="R1" workbookViewId="0">
      <selection activeCell="U19" sqref="U19"/>
    </sheetView>
  </sheetViews>
  <sheetFormatPr defaultRowHeight="12.75" x14ac:dyDescent="0.2"/>
  <sheetData>
    <row r="1" spans="1:22" x14ac:dyDescent="0.2">
      <c r="A1">
        <f t="array" ref="A1:P212">Surveys!$A$1:$P$212</f>
        <v>0</v>
      </c>
      <c r="B1">
        <v>0</v>
      </c>
      <c r="C1" t="str">
        <v>Company:</v>
      </c>
      <c r="D1" t="str">
        <v xml:space="preserve">OXY USA Permian Resources </v>
      </c>
      <c r="E1">
        <v>0</v>
      </c>
      <c r="F1">
        <v>0</v>
      </c>
      <c r="G1" t="str">
        <v>Job Number:</v>
      </c>
      <c r="H1" t="str">
        <v>03-1-26-6306</v>
      </c>
      <c r="I1">
        <v>0</v>
      </c>
      <c r="J1">
        <v>0</v>
      </c>
      <c r="K1">
        <v>0</v>
      </c>
      <c r="L1" t="str">
        <v>Calculation Method</v>
      </c>
      <c r="M1">
        <v>0</v>
      </c>
      <c r="N1" t="str">
        <v>Minimum Curvature</v>
      </c>
      <c r="O1">
        <v>0</v>
      </c>
      <c r="P1">
        <v>0</v>
      </c>
      <c r="U1">
        <f t="array" ref="U1:V212">Surveys!$U$1:$V$212</f>
        <v>1</v>
      </c>
      <c r="V1" t="str">
        <v>Gyro Survey</v>
      </c>
    </row>
    <row r="2" spans="1:22" x14ac:dyDescent="0.2">
      <c r="A2">
        <v>0</v>
      </c>
      <c r="B2">
        <v>0</v>
      </c>
      <c r="C2" t="str">
        <v>Well:</v>
      </c>
      <c r="D2" t="str">
        <v>Casper State 57-1-47-11 M 74HA</v>
      </c>
      <c r="E2">
        <v>0</v>
      </c>
      <c r="F2">
        <v>0</v>
      </c>
      <c r="G2" t="str">
        <v>Mag (Grid):</v>
      </c>
      <c r="H2">
        <v>8.0500000000000007</v>
      </c>
      <c r="I2">
        <v>0</v>
      </c>
      <c r="J2">
        <v>0</v>
      </c>
      <c r="K2">
        <v>0</v>
      </c>
      <c r="L2" t="str">
        <v>Proposed Azimuth</v>
      </c>
      <c r="M2">
        <v>0</v>
      </c>
      <c r="N2">
        <v>0</v>
      </c>
      <c r="O2">
        <v>0</v>
      </c>
      <c r="P2">
        <v>0</v>
      </c>
      <c r="U2">
        <v>0</v>
      </c>
      <c r="V2" t="str">
        <v>Previous MWD Survey</v>
      </c>
    </row>
    <row r="3" spans="1:22" x14ac:dyDescent="0.2">
      <c r="A3">
        <v>0</v>
      </c>
      <c r="B3">
        <v>0</v>
      </c>
      <c r="C3" t="str">
        <v>Location:</v>
      </c>
      <c r="D3" t="str">
        <v>Reeves County, Texas</v>
      </c>
      <c r="E3">
        <v>0</v>
      </c>
      <c r="F3">
        <v>0</v>
      </c>
      <c r="G3" t="str">
        <v>Dir Driller:</v>
      </c>
      <c r="H3" t="str">
        <v>N/A</v>
      </c>
      <c r="I3">
        <v>0</v>
      </c>
      <c r="J3">
        <v>0</v>
      </c>
      <c r="K3">
        <v>0</v>
      </c>
      <c r="L3" t="str">
        <v>Depth Reference</v>
      </c>
      <c r="M3">
        <v>0</v>
      </c>
      <c r="N3">
        <v>12.5</v>
      </c>
      <c r="O3">
        <v>0</v>
      </c>
      <c r="P3">
        <v>0</v>
      </c>
      <c r="U3">
        <v>0</v>
      </c>
      <c r="V3" t="str">
        <v>Assumed Vertical</v>
      </c>
    </row>
    <row r="4" spans="1:22" x14ac:dyDescent="0.2">
      <c r="A4">
        <v>0</v>
      </c>
      <c r="B4">
        <v>0</v>
      </c>
      <c r="C4" t="str">
        <v>Rig:</v>
      </c>
      <c r="D4" t="str">
        <v>Primo #9</v>
      </c>
      <c r="E4">
        <v>0</v>
      </c>
      <c r="F4">
        <v>0</v>
      </c>
      <c r="G4" t="str">
        <v>MWD:</v>
      </c>
      <c r="H4" t="str">
        <v>Jake</v>
      </c>
      <c r="I4">
        <v>0</v>
      </c>
      <c r="J4">
        <v>0</v>
      </c>
      <c r="K4">
        <v>0</v>
      </c>
      <c r="L4" t="str">
        <v>Tie Into:</v>
      </c>
      <c r="M4" t="str">
        <v>Assumed Vertical</v>
      </c>
      <c r="N4">
        <v>0</v>
      </c>
      <c r="O4">
        <v>0</v>
      </c>
      <c r="P4">
        <v>0</v>
      </c>
      <c r="U4">
        <v>0</v>
      </c>
      <c r="V4" t="str">
        <v>Previous Well</v>
      </c>
    </row>
    <row r="5" spans="1:22" x14ac:dyDescent="0.2">
      <c r="A5">
        <v>0</v>
      </c>
      <c r="B5">
        <v>0</v>
      </c>
      <c r="C5" t="str">
        <v>Job Date:</v>
      </c>
      <c r="D5" t="str">
        <v>07/1/2023 - 07/02/2026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U5">
        <v>0</v>
      </c>
      <c r="V5">
        <v>0</v>
      </c>
    </row>
    <row r="6" spans="1:22" x14ac:dyDescent="0.2">
      <c r="A6" t="str">
        <v xml:space="preserve">Survey </v>
      </c>
      <c r="B6" t="str">
        <v>Survey</v>
      </c>
      <c r="C6" t="str">
        <v>Inclina-</v>
      </c>
      <c r="D6">
        <v>0</v>
      </c>
      <c r="E6" t="str">
        <v>Course</v>
      </c>
      <c r="F6" t="str">
        <v>True Vertical</v>
      </c>
      <c r="G6" t="str">
        <v>Vertical</v>
      </c>
      <c r="H6" t="str">
        <v>Coordinates</v>
      </c>
      <c r="I6">
        <v>0</v>
      </c>
      <c r="J6">
        <v>0</v>
      </c>
      <c r="K6">
        <v>0</v>
      </c>
      <c r="L6" t="str">
        <v>Closure</v>
      </c>
      <c r="M6">
        <v>0</v>
      </c>
      <c r="N6" t="str">
        <v>Dogleg</v>
      </c>
      <c r="O6" t="str">
        <v>Build</v>
      </c>
      <c r="P6" t="str">
        <v>Walk</v>
      </c>
      <c r="U6">
        <v>0</v>
      </c>
      <c r="V6">
        <v>0</v>
      </c>
    </row>
    <row r="7" spans="1:22" x14ac:dyDescent="0.2">
      <c r="A7" t="str">
        <v>Number</v>
      </c>
      <c r="B7" t="str">
        <v>Depth</v>
      </c>
      <c r="C7" t="str">
        <v>tion</v>
      </c>
      <c r="D7" t="str">
        <v>Azimuth</v>
      </c>
      <c r="E7" t="str">
        <v>Length</v>
      </c>
      <c r="F7" t="str">
        <v>Depth</v>
      </c>
      <c r="G7" t="str">
        <v>Section</v>
      </c>
      <c r="H7" t="str">
        <v>N/S</v>
      </c>
      <c r="I7">
        <v>0</v>
      </c>
      <c r="J7" t="str">
        <v>E/W</v>
      </c>
      <c r="K7">
        <v>0</v>
      </c>
      <c r="L7" t="str">
        <v>Distance</v>
      </c>
      <c r="M7" t="str">
        <v>Direction</v>
      </c>
      <c r="N7" t="str">
        <v>Severity</v>
      </c>
      <c r="O7" t="str">
        <v>Rate</v>
      </c>
      <c r="P7" t="str">
        <v>Rate</v>
      </c>
      <c r="U7">
        <v>0</v>
      </c>
      <c r="V7">
        <v>0</v>
      </c>
    </row>
    <row r="8" spans="1:22" x14ac:dyDescent="0.2">
      <c r="A8">
        <v>0</v>
      </c>
      <c r="B8" t="str">
        <v>(ft)</v>
      </c>
      <c r="C8" t="str">
        <v>(deg)</v>
      </c>
      <c r="D8" t="str">
        <v>(deg)</v>
      </c>
      <c r="E8" t="str">
        <v>(ft)</v>
      </c>
      <c r="F8" t="str">
        <v>(ft)</v>
      </c>
      <c r="G8" t="str">
        <v>(ft)</v>
      </c>
      <c r="H8" t="str">
        <v>(ft)</v>
      </c>
      <c r="I8">
        <v>0</v>
      </c>
      <c r="J8" t="str">
        <v>(ft)</v>
      </c>
      <c r="K8">
        <v>0</v>
      </c>
      <c r="L8" t="str">
        <v>(ft)</v>
      </c>
      <c r="M8" t="str">
        <v>Azimuth</v>
      </c>
      <c r="N8" t="str">
        <v>(d/100')</v>
      </c>
      <c r="O8" t="str">
        <v>(d/100')</v>
      </c>
      <c r="P8" t="str">
        <v>(d/100')</v>
      </c>
      <c r="U8">
        <v>0</v>
      </c>
      <c r="V8">
        <v>0</v>
      </c>
    </row>
    <row r="9" spans="1:22" x14ac:dyDescent="0.2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U9" t="str">
        <v>N</v>
      </c>
      <c r="V9" t="str">
        <v>E</v>
      </c>
    </row>
    <row r="10" spans="1:22" x14ac:dyDescent="0.2">
      <c r="A10" t="str">
        <v xml:space="preserve">Tie In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U10">
        <v>0</v>
      </c>
      <c r="V10">
        <v>0</v>
      </c>
    </row>
    <row r="11" spans="1:22" x14ac:dyDescent="0.2">
      <c r="A11">
        <v>1</v>
      </c>
      <c r="B11">
        <v>12.5</v>
      </c>
      <c r="C11">
        <v>0</v>
      </c>
      <c r="D11">
        <v>0</v>
      </c>
      <c r="E11">
        <v>12.5</v>
      </c>
      <c r="F11">
        <v>12.5</v>
      </c>
      <c r="G11" t="e">
        <v>#DIV/0!</v>
      </c>
      <c r="H11">
        <v>0</v>
      </c>
      <c r="I11" t="str">
        <v>N</v>
      </c>
      <c r="J11">
        <v>0</v>
      </c>
      <c r="K11" t="str">
        <v>E</v>
      </c>
      <c r="L11">
        <v>0</v>
      </c>
      <c r="M11" t="e">
        <v>#DIV/0!</v>
      </c>
      <c r="N11">
        <v>0</v>
      </c>
      <c r="O11">
        <v>0</v>
      </c>
      <c r="P11">
        <v>0</v>
      </c>
      <c r="U11">
        <v>0</v>
      </c>
      <c r="V11">
        <v>0</v>
      </c>
    </row>
    <row r="12" spans="1:22" x14ac:dyDescent="0.2">
      <c r="A12">
        <v>2</v>
      </c>
      <c r="B12">
        <v>27.04</v>
      </c>
      <c r="C12">
        <v>0.02</v>
      </c>
      <c r="D12">
        <v>285.14999999999998</v>
      </c>
      <c r="E12">
        <v>14.54</v>
      </c>
      <c r="F12">
        <v>27.039999557086276</v>
      </c>
      <c r="G12">
        <v>6.6322240636255254E-4</v>
      </c>
      <c r="H12">
        <v>6.6322240636255254E-4</v>
      </c>
      <c r="I12" t="str">
        <v>N</v>
      </c>
      <c r="J12">
        <v>2.44951043856384E-3</v>
      </c>
      <c r="K12" t="str">
        <v>W</v>
      </c>
      <c r="L12">
        <v>2.5377086808644036E-3</v>
      </c>
      <c r="M12">
        <v>285.14999999999998</v>
      </c>
      <c r="N12">
        <v>0.1375515818776569</v>
      </c>
      <c r="O12">
        <v>0.13755158184319119</v>
      </c>
      <c r="P12">
        <v>1961.1416781292983</v>
      </c>
      <c r="U12">
        <v>6.6322240636255254E-4</v>
      </c>
      <c r="V12">
        <v>-2.44951043856384E-3</v>
      </c>
    </row>
    <row r="13" spans="1:22" x14ac:dyDescent="0.2">
      <c r="A13">
        <v>3</v>
      </c>
      <c r="B13">
        <v>41.58</v>
      </c>
      <c r="C13">
        <v>0.04</v>
      </c>
      <c r="D13">
        <v>285.14</v>
      </c>
      <c r="E13">
        <v>14.54</v>
      </c>
      <c r="F13">
        <v>41.579997342517707</v>
      </c>
      <c r="G13">
        <v>2.6520344840477933E-3</v>
      </c>
      <c r="H13">
        <v>2.6520344840477977E-3</v>
      </c>
      <c r="I13" t="str">
        <v>N</v>
      </c>
      <c r="J13">
        <v>9.7982728894515925E-3</v>
      </c>
      <c r="K13" t="str">
        <v>W</v>
      </c>
      <c r="L13">
        <v>1.0150834375593994E-2</v>
      </c>
      <c r="M13">
        <v>285.14500000015227</v>
      </c>
      <c r="N13">
        <v>0.13755158601360296</v>
      </c>
      <c r="O13">
        <v>0.13755158184319119</v>
      </c>
      <c r="P13">
        <v>-6.8775790921533048E-2</v>
      </c>
      <c r="U13">
        <v>2.6520344840477977E-3</v>
      </c>
      <c r="V13">
        <v>-9.7982728894515925E-3</v>
      </c>
    </row>
    <row r="14" spans="1:22" x14ac:dyDescent="0.2">
      <c r="A14">
        <v>4</v>
      </c>
      <c r="B14">
        <v>56.12</v>
      </c>
      <c r="C14">
        <v>0.05</v>
      </c>
      <c r="D14">
        <v>285.14</v>
      </c>
      <c r="E14">
        <v>14.54</v>
      </c>
      <c r="F14">
        <v>56.119992802652234</v>
      </c>
      <c r="G14">
        <v>5.6346111688117878E-3</v>
      </c>
      <c r="H14">
        <v>5.6346111688117852E-3</v>
      </c>
      <c r="I14" t="str">
        <v>N</v>
      </c>
      <c r="J14">
        <v>2.0821589637355861E-2</v>
      </c>
      <c r="K14" t="str">
        <v>W</v>
      </c>
      <c r="L14">
        <v>2.1570522433407669E-2</v>
      </c>
      <c r="M14">
        <v>285.14235294131282</v>
      </c>
      <c r="N14">
        <v>6.8775790802243969E-2</v>
      </c>
      <c r="O14">
        <v>6.8775790921595609E-2</v>
      </c>
      <c r="P14">
        <v>0</v>
      </c>
      <c r="U14">
        <v>5.6346111688117852E-3</v>
      </c>
      <c r="V14">
        <v>-2.0821589637355861E-2</v>
      </c>
    </row>
    <row r="15" spans="1:22" x14ac:dyDescent="0.2">
      <c r="A15">
        <v>5</v>
      </c>
      <c r="B15">
        <v>70.67</v>
      </c>
      <c r="C15">
        <v>7.0000000000000007E-2</v>
      </c>
      <c r="D15">
        <v>285.14</v>
      </c>
      <c r="E15">
        <v>14.550000000000004</v>
      </c>
      <c r="F15">
        <v>70.66998460311369</v>
      </c>
      <c r="G15">
        <v>9.6141147724355946E-3</v>
      </c>
      <c r="H15">
        <v>9.6141147724356189E-3</v>
      </c>
      <c r="I15" t="str">
        <v>N</v>
      </c>
      <c r="J15">
        <v>3.5529452454852277E-2</v>
      </c>
      <c r="K15" t="str">
        <v>W</v>
      </c>
      <c r="L15">
        <v>3.680724377889729E-2</v>
      </c>
      <c r="M15">
        <v>285.14137891806479</v>
      </c>
      <c r="N15">
        <v>0.13745704470798148</v>
      </c>
      <c r="O15">
        <v>0.1374570446735395</v>
      </c>
      <c r="P15">
        <v>0</v>
      </c>
      <c r="U15">
        <v>9.6141147724356189E-3</v>
      </c>
      <c r="V15">
        <v>-3.5529452454852277E-2</v>
      </c>
    </row>
    <row r="16" spans="1:22" x14ac:dyDescent="0.2">
      <c r="A16">
        <v>6</v>
      </c>
      <c r="B16">
        <v>85.21</v>
      </c>
      <c r="C16">
        <v>0.09</v>
      </c>
      <c r="D16">
        <v>285.13</v>
      </c>
      <c r="E16">
        <v>14.539999999999992</v>
      </c>
      <c r="F16">
        <v>85.209970208420032</v>
      </c>
      <c r="G16">
        <v>1.4914548108265435E-2</v>
      </c>
      <c r="H16">
        <v>1.4914548108265464E-2</v>
      </c>
      <c r="I16" t="str">
        <v>N</v>
      </c>
      <c r="J16">
        <v>5.5126975819774202E-2</v>
      </c>
      <c r="K16" t="str">
        <v>W</v>
      </c>
      <c r="L16">
        <v>5.710890655850219E-2</v>
      </c>
      <c r="M16">
        <v>285.13888909321003</v>
      </c>
      <c r="N16">
        <v>0.13755161483992817</v>
      </c>
      <c r="O16">
        <v>0.13755158184319119</v>
      </c>
      <c r="P16">
        <v>-6.8775790921533089E-2</v>
      </c>
      <c r="U16">
        <v>1.4914548108265464E-2</v>
      </c>
      <c r="V16">
        <v>-5.5126975819774202E-2</v>
      </c>
    </row>
    <row r="17" spans="1:22" x14ac:dyDescent="0.2">
      <c r="A17">
        <v>7</v>
      </c>
      <c r="B17">
        <v>99.75</v>
      </c>
      <c r="C17">
        <v>0.1</v>
      </c>
      <c r="D17">
        <v>285.13</v>
      </c>
      <c r="E17">
        <v>14.540000000000006</v>
      </c>
      <c r="F17">
        <v>99.749950166578486</v>
      </c>
      <c r="G17">
        <v>2.1207034921436087E-2</v>
      </c>
      <c r="H17">
        <v>2.1207034921436111E-2</v>
      </c>
      <c r="I17" t="str">
        <v>N</v>
      </c>
      <c r="J17">
        <v>7.8399512617789047E-2</v>
      </c>
      <c r="K17" t="str">
        <v>W</v>
      </c>
      <c r="L17">
        <v>8.1217128174208883E-2</v>
      </c>
      <c r="M17">
        <v>285.13625048439786</v>
      </c>
      <c r="N17">
        <v>6.8775790802243941E-2</v>
      </c>
      <c r="O17">
        <v>6.8775790921595636E-2</v>
      </c>
      <c r="P17">
        <v>0</v>
      </c>
      <c r="U17">
        <v>2.1207034921436111E-2</v>
      </c>
      <c r="V17">
        <v>-7.8399512617789047E-2</v>
      </c>
    </row>
    <row r="18" spans="1:22" x14ac:dyDescent="0.2">
      <c r="A18">
        <v>8</v>
      </c>
      <c r="B18">
        <v>114.29</v>
      </c>
      <c r="C18">
        <v>0.12</v>
      </c>
      <c r="D18">
        <v>285.13</v>
      </c>
      <c r="E18">
        <v>14.540000000000006</v>
      </c>
      <c r="F18">
        <v>114.28992314884971</v>
      </c>
      <c r="G18">
        <v>2.8493071063354969E-2</v>
      </c>
      <c r="H18">
        <v>2.8493071063354965E-2</v>
      </c>
      <c r="I18" t="str">
        <v>N</v>
      </c>
      <c r="J18">
        <v>0.10534665597446027</v>
      </c>
      <c r="K18" t="str">
        <v>W</v>
      </c>
      <c r="L18">
        <v>0.10913190653343632</v>
      </c>
      <c r="M18">
        <v>285.13465167711416</v>
      </c>
      <c r="N18">
        <v>0.13755158187765681</v>
      </c>
      <c r="O18">
        <v>0.13755158184319108</v>
      </c>
      <c r="P18">
        <v>0</v>
      </c>
      <c r="U18">
        <v>2.8493071063354965E-2</v>
      </c>
      <c r="V18">
        <v>-0.10534665597446027</v>
      </c>
    </row>
    <row r="19" spans="1:22" x14ac:dyDescent="0.2">
      <c r="A19">
        <v>9</v>
      </c>
      <c r="B19">
        <v>128.83000000000001</v>
      </c>
      <c r="C19">
        <v>0.14000000000000001</v>
      </c>
      <c r="D19">
        <v>285.12</v>
      </c>
      <c r="E19">
        <v>14.540000000000006</v>
      </c>
      <c r="F19">
        <v>128.82988550119944</v>
      </c>
      <c r="G19">
        <v>3.7100845958966448E-2</v>
      </c>
      <c r="H19">
        <v>3.7100845958966497E-2</v>
      </c>
      <c r="I19" t="str">
        <v>N</v>
      </c>
      <c r="J19">
        <v>0.13719408115297846</v>
      </c>
      <c r="K19" t="str">
        <v>W</v>
      </c>
      <c r="L19">
        <v>0.142122090732866</v>
      </c>
      <c r="M19">
        <v>285.13232199622365</v>
      </c>
      <c r="N19">
        <v>0.13755166986054912</v>
      </c>
      <c r="O19">
        <v>0.13755158184319127</v>
      </c>
      <c r="P19">
        <v>-6.877579092153302E-2</v>
      </c>
      <c r="U19">
        <v>3.7100845958966497E-2</v>
      </c>
      <c r="V19">
        <v>-0.13719408115297846</v>
      </c>
    </row>
    <row r="20" spans="1:22" x14ac:dyDescent="0.2">
      <c r="A20">
        <v>10</v>
      </c>
      <c r="B20">
        <v>143.38</v>
      </c>
      <c r="C20">
        <v>0.16</v>
      </c>
      <c r="D20">
        <v>285.12</v>
      </c>
      <c r="E20">
        <v>14.549999999999983</v>
      </c>
      <c r="F20">
        <v>143.3798354175556</v>
      </c>
      <c r="G20">
        <v>4.7036759796606577E-2</v>
      </c>
      <c r="H20">
        <v>4.7036759796606577E-2</v>
      </c>
      <c r="I20" t="str">
        <v>N</v>
      </c>
      <c r="J20">
        <v>0.17396717344307883</v>
      </c>
      <c r="K20" t="str">
        <v>W</v>
      </c>
      <c r="L20">
        <v>0.18021385686993643</v>
      </c>
      <c r="M20">
        <v>285.12971749836902</v>
      </c>
      <c r="N20">
        <v>0.13745704470798167</v>
      </c>
      <c r="O20">
        <v>0.13745704467353961</v>
      </c>
      <c r="P20">
        <v>0</v>
      </c>
      <c r="U20">
        <v>4.7036759796606577E-2</v>
      </c>
      <c r="V20">
        <v>-0.17396717344307883</v>
      </c>
    </row>
    <row r="21" spans="1:22" x14ac:dyDescent="0.2">
      <c r="A21">
        <v>11</v>
      </c>
      <c r="B21">
        <v>157.91999999999999</v>
      </c>
      <c r="C21">
        <v>0.17</v>
      </c>
      <c r="D21">
        <v>285.12</v>
      </c>
      <c r="E21">
        <v>14.539999999999992</v>
      </c>
      <c r="F21">
        <v>157.91977507060199</v>
      </c>
      <c r="G21">
        <v>5.7958750835300214E-2</v>
      </c>
      <c r="H21">
        <v>5.7958750835300124E-2</v>
      </c>
      <c r="I21" t="str">
        <v>N</v>
      </c>
      <c r="J21">
        <v>0.21438976476387081</v>
      </c>
      <c r="K21" t="str">
        <v>W</v>
      </c>
      <c r="L21">
        <v>0.22208599243062643</v>
      </c>
      <c r="M21">
        <v>285.12788535935192</v>
      </c>
      <c r="N21">
        <v>6.8775790802243997E-2</v>
      </c>
      <c r="O21">
        <v>6.8775790921595692E-2</v>
      </c>
      <c r="P21">
        <v>0</v>
      </c>
      <c r="U21">
        <v>5.7958750835300124E-2</v>
      </c>
      <c r="V21">
        <v>-0.21438976476387081</v>
      </c>
    </row>
    <row r="22" spans="1:22" x14ac:dyDescent="0.2">
      <c r="A22">
        <v>12</v>
      </c>
      <c r="B22">
        <v>172.46</v>
      </c>
      <c r="C22">
        <v>0.19</v>
      </c>
      <c r="D22">
        <v>285.11</v>
      </c>
      <c r="E22">
        <v>14.54000000000002</v>
      </c>
      <c r="F22">
        <v>172.45970309718126</v>
      </c>
      <c r="G22">
        <v>6.9869584777968147E-2</v>
      </c>
      <c r="H22">
        <v>6.9869584777968091E-2</v>
      </c>
      <c r="I22" t="str">
        <v>N</v>
      </c>
      <c r="J22">
        <v>0.25848822220547968</v>
      </c>
      <c r="K22" t="str">
        <v>W</v>
      </c>
      <c r="L22">
        <v>0.26776467260636738</v>
      </c>
      <c r="M22">
        <v>285.12563982527286</v>
      </c>
      <c r="N22">
        <v>0.13755175107537843</v>
      </c>
      <c r="O22">
        <v>0.13755158184319094</v>
      </c>
      <c r="P22">
        <v>-6.877579092153295E-2</v>
      </c>
      <c r="U22">
        <v>6.9869584777968091E-2</v>
      </c>
      <c r="V22">
        <v>-0.25848822220547968</v>
      </c>
    </row>
    <row r="23" spans="1:22" x14ac:dyDescent="0.2">
      <c r="A23">
        <v>13</v>
      </c>
      <c r="B23">
        <v>187</v>
      </c>
      <c r="C23">
        <v>0.21</v>
      </c>
      <c r="D23">
        <v>285.11</v>
      </c>
      <c r="E23">
        <v>14.539999999999992</v>
      </c>
      <c r="F23">
        <v>186.99961429307001</v>
      </c>
      <c r="G23">
        <v>8.309980125719521E-2</v>
      </c>
      <c r="H23">
        <v>8.3099801257195183E-2</v>
      </c>
      <c r="I23" t="str">
        <v>N</v>
      </c>
      <c r="J23">
        <v>0.30748758011069266</v>
      </c>
      <c r="K23" t="str">
        <v>W</v>
      </c>
      <c r="L23">
        <v>0.31851874182112888</v>
      </c>
      <c r="M23">
        <v>285.12314771198271</v>
      </c>
      <c r="N23">
        <v>0.13755158187765695</v>
      </c>
      <c r="O23">
        <v>0.13755158184319119</v>
      </c>
      <c r="P23">
        <v>0</v>
      </c>
      <c r="U23">
        <v>8.3099801257195183E-2</v>
      </c>
      <c r="V23">
        <v>-0.30748758011069266</v>
      </c>
    </row>
    <row r="24" spans="1:22" x14ac:dyDescent="0.2">
      <c r="A24">
        <v>14</v>
      </c>
      <c r="B24">
        <v>201.8</v>
      </c>
      <c r="C24">
        <v>0.23</v>
      </c>
      <c r="D24">
        <v>297.17</v>
      </c>
      <c r="E24">
        <v>14.800000000000011</v>
      </c>
      <c r="F24">
        <v>201.79950496601376</v>
      </c>
      <c r="G24">
        <v>0.10373431961018534</v>
      </c>
      <c r="H24">
        <v>0.10373431961018548</v>
      </c>
      <c r="I24" t="str">
        <v>N</v>
      </c>
      <c r="J24">
        <v>0.36009983532178091</v>
      </c>
      <c r="K24" t="str">
        <v>W</v>
      </c>
      <c r="L24">
        <v>0.37474351290417535</v>
      </c>
      <c r="M24">
        <v>286.07015688404556</v>
      </c>
      <c r="N24">
        <v>0.33999416110928049</v>
      </c>
      <c r="O24">
        <v>0.13513513513513514</v>
      </c>
      <c r="P24">
        <v>81.486486486486442</v>
      </c>
      <c r="U24">
        <v>0.10373431961018548</v>
      </c>
      <c r="V24">
        <v>-0.36009983532178091</v>
      </c>
    </row>
    <row r="25" spans="1:22" x14ac:dyDescent="0.2">
      <c r="A25">
        <v>15</v>
      </c>
      <c r="B25">
        <v>216.6</v>
      </c>
      <c r="C25">
        <v>0.25</v>
      </c>
      <c r="D25">
        <v>307.19</v>
      </c>
      <c r="E25">
        <v>14.799999999999983</v>
      </c>
      <c r="F25">
        <v>216.59937490065965</v>
      </c>
      <c r="G25">
        <v>0.13681587441341128</v>
      </c>
      <c r="H25">
        <v>0.1368158744134112</v>
      </c>
      <c r="I25" t="str">
        <v>N</v>
      </c>
      <c r="J25">
        <v>0.41224958586641336</v>
      </c>
      <c r="K25" t="str">
        <v>W</v>
      </c>
      <c r="L25">
        <v>0.4343596488378445</v>
      </c>
      <c r="M25">
        <v>288.35978323428907</v>
      </c>
      <c r="N25">
        <v>0.31359474609186067</v>
      </c>
      <c r="O25">
        <v>0.13513513513513523</v>
      </c>
      <c r="P25">
        <v>67.702702702702652</v>
      </c>
      <c r="U25">
        <v>0.1368158744134112</v>
      </c>
      <c r="V25">
        <v>-0.41224958586641336</v>
      </c>
    </row>
    <row r="26" spans="1:22" x14ac:dyDescent="0.2">
      <c r="A26">
        <v>16</v>
      </c>
      <c r="B26">
        <v>231.4</v>
      </c>
      <c r="C26">
        <v>0.28000000000000003</v>
      </c>
      <c r="D26">
        <v>315.17</v>
      </c>
      <c r="E26">
        <v>14.800000000000011</v>
      </c>
      <c r="F26">
        <v>231.39921609474783</v>
      </c>
      <c r="G26">
        <v>0.18197989331998662</v>
      </c>
      <c r="H26">
        <v>0.18197989331998671</v>
      </c>
      <c r="I26" t="str">
        <v>N</v>
      </c>
      <c r="J26">
        <v>0.46346691409533192</v>
      </c>
      <c r="K26" t="str">
        <v>W</v>
      </c>
      <c r="L26">
        <v>0.49791391026341442</v>
      </c>
      <c r="M26">
        <v>291.43741219048877</v>
      </c>
      <c r="N26">
        <v>0.32090454589178397</v>
      </c>
      <c r="O26">
        <v>0.20270270270270274</v>
      </c>
      <c r="P26">
        <v>53.918918918919005</v>
      </c>
      <c r="U26">
        <v>0.18197989331998671</v>
      </c>
      <c r="V26">
        <v>-0.46346691409533192</v>
      </c>
    </row>
    <row r="27" spans="1:22" x14ac:dyDescent="0.2">
      <c r="A27">
        <v>17</v>
      </c>
      <c r="B27">
        <v>246.2</v>
      </c>
      <c r="C27">
        <v>0.32</v>
      </c>
      <c r="D27">
        <v>321.45999999999998</v>
      </c>
      <c r="E27">
        <v>14.799999999999983</v>
      </c>
      <c r="F27">
        <v>246.19901231835453</v>
      </c>
      <c r="G27">
        <v>0.23995339498359528</v>
      </c>
      <c r="H27">
        <v>0.23995339498359519</v>
      </c>
      <c r="I27" t="str">
        <v>N</v>
      </c>
      <c r="J27">
        <v>0.51471268338571641</v>
      </c>
      <c r="K27" t="str">
        <v>W</v>
      </c>
      <c r="L27">
        <v>0.56789680242300888</v>
      </c>
      <c r="M27">
        <v>294.99441575895446</v>
      </c>
      <c r="N27">
        <v>0.34970753896410867</v>
      </c>
      <c r="O27">
        <v>0.27027027027027045</v>
      </c>
      <c r="P27">
        <v>42.499999999999801</v>
      </c>
      <c r="U27">
        <v>0.23995339498359519</v>
      </c>
      <c r="V27">
        <v>-0.51471268338571641</v>
      </c>
    </row>
    <row r="28" spans="1:22" x14ac:dyDescent="0.2">
      <c r="A28">
        <v>18</v>
      </c>
      <c r="B28">
        <v>261</v>
      </c>
      <c r="C28">
        <v>0.36</v>
      </c>
      <c r="D28">
        <v>326.42</v>
      </c>
      <c r="E28">
        <v>14.800000000000011</v>
      </c>
      <c r="F28">
        <v>260.99875083554195</v>
      </c>
      <c r="G28">
        <v>0.3110158536012283</v>
      </c>
      <c r="H28">
        <v>0.31101585360122802</v>
      </c>
      <c r="I28" t="str">
        <v>N</v>
      </c>
      <c r="J28">
        <v>0.56617984559727164</v>
      </c>
      <c r="K28" t="str">
        <v>W</v>
      </c>
      <c r="L28">
        <v>0.64598024640994312</v>
      </c>
      <c r="M28">
        <v>298.78102345557056</v>
      </c>
      <c r="N28">
        <v>0.33531275670016947</v>
      </c>
      <c r="O28">
        <v>0.27027027027026995</v>
      </c>
      <c r="P28">
        <v>33.513513513513736</v>
      </c>
      <c r="U28">
        <v>0.31101585360122802</v>
      </c>
      <c r="V28">
        <v>-0.56617984559727164</v>
      </c>
    </row>
    <row r="29" spans="1:22" x14ac:dyDescent="0.2">
      <c r="A29">
        <v>19</v>
      </c>
      <c r="B29">
        <v>272.75</v>
      </c>
      <c r="C29">
        <v>0.35</v>
      </c>
      <c r="D29">
        <v>319.04000000000002</v>
      </c>
      <c r="E29">
        <v>11.75</v>
      </c>
      <c r="F29">
        <v>272.74852525373797</v>
      </c>
      <c r="G29">
        <v>0.36887052700446687</v>
      </c>
      <c r="H29">
        <v>0.36887052700446721</v>
      </c>
      <c r="I29" t="str">
        <v>N</v>
      </c>
      <c r="J29">
        <v>0.61012251835953857</v>
      </c>
      <c r="K29" t="str">
        <v>W</v>
      </c>
      <c r="L29">
        <v>0.71296209794205667</v>
      </c>
      <c r="M29">
        <v>301.15650125811663</v>
      </c>
      <c r="N29">
        <v>0.39805104685176412</v>
      </c>
      <c r="O29">
        <v>-8.5106382978723472E-2</v>
      </c>
      <c r="P29">
        <v>-62.808510638297832</v>
      </c>
      <c r="U29">
        <v>0.36887052700446721</v>
      </c>
      <c r="V29">
        <v>-0.61012251835953857</v>
      </c>
    </row>
    <row r="30" spans="1:22" x14ac:dyDescent="0.2">
      <c r="A30">
        <v>20</v>
      </c>
      <c r="B30">
        <v>284.5</v>
      </c>
      <c r="C30">
        <v>0.35</v>
      </c>
      <c r="D30">
        <v>311.39999999999998</v>
      </c>
      <c r="E30">
        <v>11.75</v>
      </c>
      <c r="F30">
        <v>284.49830602507041</v>
      </c>
      <c r="G30">
        <v>0.41970529047306182</v>
      </c>
      <c r="H30">
        <v>0.41970529047306215</v>
      </c>
      <c r="I30" t="str">
        <v>N</v>
      </c>
      <c r="J30">
        <v>0.66056839019492142</v>
      </c>
      <c r="K30" t="str">
        <v>W</v>
      </c>
      <c r="L30">
        <v>0.78262579115167641</v>
      </c>
      <c r="M30">
        <v>302.43064951321173</v>
      </c>
      <c r="N30">
        <v>0.39689572415839725</v>
      </c>
      <c r="O30">
        <v>0</v>
      </c>
      <c r="P30">
        <v>-65.02127659574505</v>
      </c>
      <c r="U30">
        <v>0.41970529047306215</v>
      </c>
      <c r="V30">
        <v>-0.66056839019492142</v>
      </c>
    </row>
    <row r="31" spans="1:22" x14ac:dyDescent="0.2">
      <c r="A31">
        <v>21</v>
      </c>
      <c r="B31">
        <v>296.25</v>
      </c>
      <c r="C31">
        <v>0.35</v>
      </c>
      <c r="D31">
        <v>303.79000000000002</v>
      </c>
      <c r="E31">
        <v>11.75</v>
      </c>
      <c r="F31">
        <v>296.24808679640284</v>
      </c>
      <c r="G31">
        <v>0.4633977158224511</v>
      </c>
      <c r="H31">
        <v>0.46339771582245082</v>
      </c>
      <c r="I31" t="str">
        <v>N</v>
      </c>
      <c r="J31">
        <v>0.71731440408716041</v>
      </c>
      <c r="K31" t="str">
        <v>W</v>
      </c>
      <c r="L31">
        <v>0.8539773986121546</v>
      </c>
      <c r="M31">
        <v>302.86317075175009</v>
      </c>
      <c r="N31">
        <v>0.39533952932114041</v>
      </c>
      <c r="O31">
        <v>0</v>
      </c>
      <c r="P31">
        <v>-64.765957446808144</v>
      </c>
      <c r="U31">
        <v>0.46339771582245082</v>
      </c>
      <c r="V31">
        <v>-0.71731440408716041</v>
      </c>
    </row>
    <row r="32" spans="1:22" x14ac:dyDescent="0.2">
      <c r="A32">
        <v>22</v>
      </c>
      <c r="B32">
        <v>308</v>
      </c>
      <c r="C32">
        <v>0.36</v>
      </c>
      <c r="D32">
        <v>296.45999999999998</v>
      </c>
      <c r="E32">
        <v>11.75</v>
      </c>
      <c r="F32">
        <v>307.99786121459886</v>
      </c>
      <c r="G32">
        <v>0.49980455156392778</v>
      </c>
      <c r="H32">
        <v>0.49980455156392739</v>
      </c>
      <c r="I32" t="str">
        <v>N</v>
      </c>
      <c r="J32">
        <v>0.78018697383757685</v>
      </c>
      <c r="K32" t="str">
        <v>W</v>
      </c>
      <c r="L32">
        <v>0.92655075625129912</v>
      </c>
      <c r="M32">
        <v>302.6444980610346</v>
      </c>
      <c r="N32">
        <v>0.39548142876336106</v>
      </c>
      <c r="O32">
        <v>8.5106382978723472E-2</v>
      </c>
      <c r="P32">
        <v>-62.382978723404605</v>
      </c>
      <c r="U32">
        <v>0.49980455156392739</v>
      </c>
      <c r="V32">
        <v>-0.78018697383757685</v>
      </c>
    </row>
    <row r="33" spans="1:22" x14ac:dyDescent="0.2">
      <c r="A33">
        <v>23</v>
      </c>
      <c r="B33">
        <v>322.5</v>
      </c>
      <c r="C33">
        <v>0.38</v>
      </c>
      <c r="D33">
        <v>299.39</v>
      </c>
      <c r="E33">
        <v>14.5</v>
      </c>
      <c r="F33">
        <v>322.49755865440193</v>
      </c>
      <c r="G33">
        <v>0.5436986863994917</v>
      </c>
      <c r="H33">
        <v>0.54369868639949226</v>
      </c>
      <c r="I33" t="str">
        <v>N</v>
      </c>
      <c r="J33">
        <v>0.8628630150539508</v>
      </c>
      <c r="K33" t="str">
        <v>W</v>
      </c>
      <c r="L33">
        <v>1.0198729550000472</v>
      </c>
      <c r="M33">
        <v>302.21544272293914</v>
      </c>
      <c r="N33">
        <v>0.1898324111373581</v>
      </c>
      <c r="O33">
        <v>0.13793103448275873</v>
      </c>
      <c r="P33">
        <v>20.206896551724185</v>
      </c>
      <c r="U33">
        <v>0.54369868639949226</v>
      </c>
      <c r="V33">
        <v>-0.8628630150539508</v>
      </c>
    </row>
    <row r="34" spans="1:22" x14ac:dyDescent="0.2">
      <c r="A34">
        <v>24</v>
      </c>
      <c r="B34">
        <v>337</v>
      </c>
      <c r="C34">
        <v>0.41</v>
      </c>
      <c r="D34">
        <v>301.97000000000003</v>
      </c>
      <c r="E34">
        <v>14.5</v>
      </c>
      <c r="F34">
        <v>336.99721358135764</v>
      </c>
      <c r="G34">
        <v>0.59476461980898865</v>
      </c>
      <c r="H34">
        <v>0.5947646198089892</v>
      </c>
      <c r="I34" t="str">
        <v>N</v>
      </c>
      <c r="J34">
        <v>0.94876878973668266</v>
      </c>
      <c r="K34" t="str">
        <v>W</v>
      </c>
      <c r="L34">
        <v>1.1197799647050937</v>
      </c>
      <c r="M34">
        <v>302.08279562592469</v>
      </c>
      <c r="N34">
        <v>0.24047617644851219</v>
      </c>
      <c r="O34">
        <v>0.20689655172413771</v>
      </c>
      <c r="P34">
        <v>17.793103448276142</v>
      </c>
      <c r="U34">
        <v>0.5947646198089892</v>
      </c>
      <c r="V34">
        <v>-0.94876878973668266</v>
      </c>
    </row>
    <row r="35" spans="1:22" x14ac:dyDescent="0.2">
      <c r="A35">
        <v>25</v>
      </c>
      <c r="B35">
        <v>351.5</v>
      </c>
      <c r="C35">
        <v>0.44</v>
      </c>
      <c r="D35">
        <v>304.24</v>
      </c>
      <c r="E35">
        <v>14.5</v>
      </c>
      <c r="F35">
        <v>351.49681418026267</v>
      </c>
      <c r="G35">
        <v>0.65355989813439708</v>
      </c>
      <c r="H35">
        <v>0.65355989813439774</v>
      </c>
      <c r="I35" t="str">
        <v>N</v>
      </c>
      <c r="J35">
        <v>1.0388056928903175</v>
      </c>
      <c r="K35" t="str">
        <v>W</v>
      </c>
      <c r="L35">
        <v>1.2272969518542678</v>
      </c>
      <c r="M35">
        <v>302.17586457740896</v>
      </c>
      <c r="N35">
        <v>0.23721782173396178</v>
      </c>
      <c r="O35">
        <v>0.20689655172413809</v>
      </c>
      <c r="P35">
        <v>15.655172413792977</v>
      </c>
      <c r="U35">
        <v>0.65355989813439774</v>
      </c>
      <c r="V35">
        <v>-1.0388056928903175</v>
      </c>
    </row>
    <row r="36" spans="1:22" x14ac:dyDescent="0.2">
      <c r="A36">
        <v>26</v>
      </c>
      <c r="B36">
        <v>366</v>
      </c>
      <c r="C36">
        <v>0.46</v>
      </c>
      <c r="D36">
        <v>306.26</v>
      </c>
      <c r="E36">
        <v>14.5</v>
      </c>
      <c r="F36">
        <v>365.9963667452713</v>
      </c>
      <c r="G36">
        <v>0.7193123101315011</v>
      </c>
      <c r="H36">
        <v>0.71931231013150154</v>
      </c>
      <c r="I36" t="str">
        <v>N</v>
      </c>
      <c r="J36">
        <v>1.1317659139584486</v>
      </c>
      <c r="K36" t="str">
        <v>W</v>
      </c>
      <c r="L36">
        <v>1.3410086813682154</v>
      </c>
      <c r="M36">
        <v>302.4386655705253</v>
      </c>
      <c r="N36">
        <v>0.17603697386670517</v>
      </c>
      <c r="O36">
        <v>0.13793103448275873</v>
      </c>
      <c r="P36">
        <v>13.931034482758495</v>
      </c>
      <c r="U36">
        <v>0.71931231013150154</v>
      </c>
      <c r="V36">
        <v>-1.1317659139584486</v>
      </c>
    </row>
    <row r="37" spans="1:22" x14ac:dyDescent="0.2">
      <c r="A37">
        <v>27</v>
      </c>
      <c r="B37">
        <v>380.5</v>
      </c>
      <c r="C37">
        <v>0.49</v>
      </c>
      <c r="D37">
        <v>308.05</v>
      </c>
      <c r="E37">
        <v>14.5</v>
      </c>
      <c r="F37">
        <v>380.49586796377139</v>
      </c>
      <c r="G37">
        <v>0.79195323952858798</v>
      </c>
      <c r="H37">
        <v>0.79195323952858787</v>
      </c>
      <c r="I37" t="str">
        <v>N</v>
      </c>
      <c r="J37">
        <v>1.227524870171167</v>
      </c>
      <c r="K37" t="str">
        <v>W</v>
      </c>
      <c r="L37">
        <v>1.4608241648085389</v>
      </c>
      <c r="M37">
        <v>302.82859816185282</v>
      </c>
      <c r="N37">
        <v>0.23079998755170988</v>
      </c>
      <c r="O37">
        <v>0.20689655172413771</v>
      </c>
      <c r="P37">
        <v>12.344827586207037</v>
      </c>
      <c r="U37">
        <v>0.79195323952858787</v>
      </c>
      <c r="V37">
        <v>-1.227524870171167</v>
      </c>
    </row>
    <row r="38" spans="1:22" x14ac:dyDescent="0.2">
      <c r="A38">
        <v>28</v>
      </c>
      <c r="B38">
        <v>395</v>
      </c>
      <c r="C38">
        <v>0.52</v>
      </c>
      <c r="D38">
        <v>309.66000000000003</v>
      </c>
      <c r="E38">
        <v>14.5</v>
      </c>
      <c r="F38">
        <v>394.99530425386291</v>
      </c>
      <c r="G38">
        <v>0.87216244304972224</v>
      </c>
      <c r="H38">
        <v>0.87216244304972224</v>
      </c>
      <c r="I38" t="str">
        <v>N</v>
      </c>
      <c r="J38">
        <v>1.3270041237616161</v>
      </c>
      <c r="K38" t="str">
        <v>W</v>
      </c>
      <c r="L38">
        <v>1.587956948895906</v>
      </c>
      <c r="M38">
        <v>303.31458580430785</v>
      </c>
      <c r="N38">
        <v>0.22885449487241849</v>
      </c>
      <c r="O38">
        <v>0.20689655172413809</v>
      </c>
      <c r="P38">
        <v>11.103448275862162</v>
      </c>
      <c r="U38">
        <v>0.87216244304972224</v>
      </c>
      <c r="V38">
        <v>-1.3270041237616161</v>
      </c>
    </row>
    <row r="39" spans="1:22" x14ac:dyDescent="0.2">
      <c r="A39">
        <v>29</v>
      </c>
      <c r="B39">
        <v>409.5</v>
      </c>
      <c r="C39">
        <v>0.52</v>
      </c>
      <c r="D39">
        <v>311.66000000000003</v>
      </c>
      <c r="E39">
        <v>14.5</v>
      </c>
      <c r="F39">
        <v>409.49470708597215</v>
      </c>
      <c r="G39">
        <v>0.95789326606155678</v>
      </c>
      <c r="H39">
        <v>0.95789326606155756</v>
      </c>
      <c r="I39" t="str">
        <v>N</v>
      </c>
      <c r="J39">
        <v>1.4268162649447567</v>
      </c>
      <c r="K39" t="str">
        <v>W</v>
      </c>
      <c r="L39">
        <v>1.7185354704157212</v>
      </c>
      <c r="M39">
        <v>303.87544135309372</v>
      </c>
      <c r="N39">
        <v>0.12517416275633936</v>
      </c>
      <c r="O39">
        <v>0</v>
      </c>
      <c r="P39">
        <v>13.793103448275861</v>
      </c>
      <c r="U39">
        <v>0.95789326606155756</v>
      </c>
      <c r="V39">
        <v>-1.4268162649447567</v>
      </c>
    </row>
    <row r="40" spans="1:22" x14ac:dyDescent="0.2">
      <c r="A40">
        <v>30</v>
      </c>
      <c r="B40">
        <v>424</v>
      </c>
      <c r="C40">
        <v>0.52</v>
      </c>
      <c r="D40">
        <v>313.64</v>
      </c>
      <c r="E40">
        <v>14.5</v>
      </c>
      <c r="F40">
        <v>423.99410991808139</v>
      </c>
      <c r="G40">
        <v>1.0470386388309831</v>
      </c>
      <c r="H40">
        <v>1.0470386388309838</v>
      </c>
      <c r="I40" t="str">
        <v>N</v>
      </c>
      <c r="J40">
        <v>1.5235914942720021</v>
      </c>
      <c r="K40" t="str">
        <v>W</v>
      </c>
      <c r="L40">
        <v>1.8486808682471487</v>
      </c>
      <c r="M40">
        <v>304.49752794924837</v>
      </c>
      <c r="N40">
        <v>0.12392254628308766</v>
      </c>
      <c r="O40">
        <v>0</v>
      </c>
      <c r="P40">
        <v>13.655172413792837</v>
      </c>
      <c r="U40">
        <v>1.0470386388309838</v>
      </c>
      <c r="V40">
        <v>-1.5235914942720021</v>
      </c>
    </row>
    <row r="41" spans="1:22" x14ac:dyDescent="0.2">
      <c r="A41">
        <v>31</v>
      </c>
      <c r="B41">
        <v>438.5</v>
      </c>
      <c r="C41">
        <v>0.52</v>
      </c>
      <c r="D41">
        <v>315.61</v>
      </c>
      <c r="E41">
        <v>14.5</v>
      </c>
      <c r="F41">
        <v>438.49351275019063</v>
      </c>
      <c r="G41">
        <v>1.1394664007225239</v>
      </c>
      <c r="H41">
        <v>1.1394664007225248</v>
      </c>
      <c r="I41" t="str">
        <v>N</v>
      </c>
      <c r="J41">
        <v>1.6172371210342962</v>
      </c>
      <c r="K41" t="str">
        <v>W</v>
      </c>
      <c r="L41">
        <v>1.9783426356490537</v>
      </c>
      <c r="M41">
        <v>305.16760414282197</v>
      </c>
      <c r="N41">
        <v>0.12329673661907271</v>
      </c>
      <c r="O41">
        <v>0</v>
      </c>
      <c r="P41">
        <v>13.586206896551911</v>
      </c>
      <c r="U41">
        <v>1.1394664007225248</v>
      </c>
      <c r="V41">
        <v>-1.6172371210342962</v>
      </c>
    </row>
    <row r="42" spans="1:22" x14ac:dyDescent="0.2">
      <c r="A42">
        <v>32</v>
      </c>
      <c r="B42">
        <v>453</v>
      </c>
      <c r="C42">
        <v>0.53</v>
      </c>
      <c r="D42">
        <v>317.55</v>
      </c>
      <c r="E42">
        <v>14.5</v>
      </c>
      <c r="F42">
        <v>452.9929039879616</v>
      </c>
      <c r="G42">
        <v>1.2359691003571562</v>
      </c>
      <c r="H42">
        <v>1.2359691003571558</v>
      </c>
      <c r="I42" t="str">
        <v>N</v>
      </c>
      <c r="J42">
        <v>1.7085295273592802</v>
      </c>
      <c r="K42" t="str">
        <v>W</v>
      </c>
      <c r="L42">
        <v>2.1087182748997559</v>
      </c>
      <c r="M42">
        <v>305.88239195269625</v>
      </c>
      <c r="N42">
        <v>0.14064989867357602</v>
      </c>
      <c r="O42">
        <v>6.8965517241379365E-2</v>
      </c>
      <c r="P42">
        <v>13.379310344827569</v>
      </c>
      <c r="U42">
        <v>1.2359691003571558</v>
      </c>
      <c r="V42">
        <v>-1.7085295273592802</v>
      </c>
    </row>
    <row r="43" spans="1:22" x14ac:dyDescent="0.2">
      <c r="A43">
        <v>33</v>
      </c>
      <c r="B43">
        <v>467.5</v>
      </c>
      <c r="C43">
        <v>0.53</v>
      </c>
      <c r="D43">
        <v>319.45999999999998</v>
      </c>
      <c r="E43">
        <v>14.5</v>
      </c>
      <c r="F43">
        <v>467.49228363139429</v>
      </c>
      <c r="G43">
        <v>1.3364178153835367</v>
      </c>
      <c r="H43">
        <v>1.3364178153835375</v>
      </c>
      <c r="I43" t="str">
        <v>N</v>
      </c>
      <c r="J43">
        <v>1.7973834174027818</v>
      </c>
      <c r="K43" t="str">
        <v>W</v>
      </c>
      <c r="L43">
        <v>2.2397767135205711</v>
      </c>
      <c r="M43">
        <v>306.63210093772591</v>
      </c>
      <c r="N43">
        <v>0.12184067630631738</v>
      </c>
      <c r="O43">
        <v>0</v>
      </c>
      <c r="P43">
        <v>13.172413793103228</v>
      </c>
      <c r="U43">
        <v>1.3364178153835375</v>
      </c>
      <c r="V43">
        <v>-1.7973834174027818</v>
      </c>
    </row>
    <row r="44" spans="1:22" x14ac:dyDescent="0.2">
      <c r="A44">
        <v>34</v>
      </c>
      <c r="B44">
        <v>482</v>
      </c>
      <c r="C44">
        <v>0.54</v>
      </c>
      <c r="D44">
        <v>321.33999999999997</v>
      </c>
      <c r="E44">
        <v>14.5</v>
      </c>
      <c r="F44">
        <v>481.99165145965054</v>
      </c>
      <c r="G44">
        <v>1.4407382971547047</v>
      </c>
      <c r="H44">
        <v>1.4407382971547049</v>
      </c>
      <c r="I44" t="str">
        <v>N</v>
      </c>
      <c r="J44">
        <v>1.8836578850844787</v>
      </c>
      <c r="K44" t="str">
        <v>W</v>
      </c>
      <c r="L44">
        <v>2.3714750407561049</v>
      </c>
      <c r="M44">
        <v>307.41099969557246</v>
      </c>
      <c r="N44">
        <v>0.13932019713654331</v>
      </c>
      <c r="O44">
        <v>6.8965517241379365E-2</v>
      </c>
      <c r="P44">
        <v>12.965517241379278</v>
      </c>
      <c r="U44">
        <v>1.4407382971547049</v>
      </c>
      <c r="V44">
        <v>-1.8836578850844787</v>
      </c>
    </row>
    <row r="45" spans="1:22" x14ac:dyDescent="0.2">
      <c r="A45">
        <v>35</v>
      </c>
      <c r="B45">
        <v>496.33</v>
      </c>
      <c r="C45">
        <v>0.52</v>
      </c>
      <c r="D45">
        <v>320.62</v>
      </c>
      <c r="E45">
        <v>14.329999999999984</v>
      </c>
      <c r="F45">
        <v>496.32103815798013</v>
      </c>
      <c r="G45">
        <v>1.5437309308271834</v>
      </c>
      <c r="H45">
        <v>1.5437309308271836</v>
      </c>
      <c r="I45" t="str">
        <v>N</v>
      </c>
      <c r="J45">
        <v>1.9670989927905866</v>
      </c>
      <c r="K45" t="str">
        <v>W</v>
      </c>
      <c r="L45">
        <v>2.5005166734557687</v>
      </c>
      <c r="M45">
        <v>308.12395122853167</v>
      </c>
      <c r="N45">
        <v>0.14709965931987481</v>
      </c>
      <c r="O45">
        <v>-0.13956734124214962</v>
      </c>
      <c r="P45">
        <v>-5.0244242847171749</v>
      </c>
      <c r="U45">
        <v>1.5437309308271836</v>
      </c>
      <c r="V45">
        <v>-1.9670989927905866</v>
      </c>
    </row>
    <row r="46" spans="1:22" x14ac:dyDescent="0.2">
      <c r="A46">
        <v>36</v>
      </c>
      <c r="B46">
        <v>510.67</v>
      </c>
      <c r="C46">
        <v>0.5</v>
      </c>
      <c r="D46">
        <v>319.86</v>
      </c>
      <c r="E46">
        <v>14.340000000000032</v>
      </c>
      <c r="F46">
        <v>510.66046985712427</v>
      </c>
      <c r="G46">
        <v>1.6418610530579898</v>
      </c>
      <c r="H46">
        <v>1.64186105305799</v>
      </c>
      <c r="I46" t="str">
        <v>N</v>
      </c>
      <c r="J46">
        <v>2.0487203399631424</v>
      </c>
      <c r="K46" t="str">
        <v>W</v>
      </c>
      <c r="L46">
        <v>2.6254452477489196</v>
      </c>
      <c r="M46">
        <v>308.70896811643206</v>
      </c>
      <c r="N46">
        <v>0.14722913848113078</v>
      </c>
      <c r="O46">
        <v>-0.1394700139470012</v>
      </c>
      <c r="P46">
        <v>-5.2998605299859785</v>
      </c>
      <c r="U46">
        <v>1.64186105305799</v>
      </c>
      <c r="V46">
        <v>-2.0487203399631424</v>
      </c>
    </row>
    <row r="47" spans="1:22" x14ac:dyDescent="0.2">
      <c r="A47">
        <v>37</v>
      </c>
      <c r="B47">
        <v>525</v>
      </c>
      <c r="C47">
        <v>0.48</v>
      </c>
      <c r="D47">
        <v>319.04000000000002</v>
      </c>
      <c r="E47">
        <v>14.329999999999984</v>
      </c>
      <c r="F47">
        <v>524.98994560369431</v>
      </c>
      <c r="G47">
        <v>1.7349887830409243</v>
      </c>
      <c r="H47">
        <v>1.7349887830409256</v>
      </c>
      <c r="I47" t="str">
        <v>N</v>
      </c>
      <c r="J47">
        <v>2.1283760388920112</v>
      </c>
      <c r="K47" t="str">
        <v>W</v>
      </c>
      <c r="L47">
        <v>2.7459371151225369</v>
      </c>
      <c r="M47">
        <v>309.18589422607954</v>
      </c>
      <c r="N47">
        <v>0.14789461662431472</v>
      </c>
      <c r="O47">
        <v>-0.13956734124214962</v>
      </c>
      <c r="P47">
        <v>-5.7222609909280813</v>
      </c>
      <c r="U47">
        <v>1.7349887830409256</v>
      </c>
      <c r="V47">
        <v>-2.1283760388920112</v>
      </c>
    </row>
    <row r="48" spans="1:22" x14ac:dyDescent="0.2">
      <c r="A48">
        <v>38</v>
      </c>
      <c r="B48">
        <v>539.33000000000004</v>
      </c>
      <c r="C48">
        <v>0.47</v>
      </c>
      <c r="D48">
        <v>318.16000000000003</v>
      </c>
      <c r="E48">
        <v>14.330000000000041</v>
      </c>
      <c r="F48">
        <v>539.31945310647927</v>
      </c>
      <c r="G48">
        <v>1.8241048290632562</v>
      </c>
      <c r="H48">
        <v>1.824104829063256</v>
      </c>
      <c r="I48" t="str">
        <v>N</v>
      </c>
      <c r="J48">
        <v>2.206929599913265</v>
      </c>
      <c r="K48" t="str">
        <v>W</v>
      </c>
      <c r="L48">
        <v>2.8631969346143853</v>
      </c>
      <c r="M48">
        <v>309.57492719222626</v>
      </c>
      <c r="N48">
        <v>8.6378488944885645E-2</v>
      </c>
      <c r="O48">
        <v>-6.9783670621074531E-2</v>
      </c>
      <c r="P48">
        <v>-6.1409630146545213</v>
      </c>
      <c r="U48">
        <v>1.824104829063256</v>
      </c>
      <c r="V48">
        <v>-2.206929599913265</v>
      </c>
    </row>
    <row r="49" spans="1:22" x14ac:dyDescent="0.2">
      <c r="A49">
        <v>39</v>
      </c>
      <c r="B49">
        <v>553.66999999999996</v>
      </c>
      <c r="C49">
        <v>0.45</v>
      </c>
      <c r="D49">
        <v>317.20999999999998</v>
      </c>
      <c r="E49">
        <v>14.339999999999918</v>
      </c>
      <c r="F49">
        <v>553.65899073353796</v>
      </c>
      <c r="G49">
        <v>1.9092475809503129</v>
      </c>
      <c r="H49">
        <v>1.9092475809503142</v>
      </c>
      <c r="I49" t="str">
        <v>N</v>
      </c>
      <c r="J49">
        <v>2.2844162402806654</v>
      </c>
      <c r="K49" t="str">
        <v>W</v>
      </c>
      <c r="L49">
        <v>2.9772107557616199</v>
      </c>
      <c r="M49">
        <v>309.88788068564554</v>
      </c>
      <c r="N49">
        <v>0.14926263270025208</v>
      </c>
      <c r="O49">
        <v>-0.13947001394700193</v>
      </c>
      <c r="P49">
        <v>-6.6248256624829214</v>
      </c>
      <c r="U49">
        <v>1.9092475809503142</v>
      </c>
      <c r="V49">
        <v>-2.2844162402806654</v>
      </c>
    </row>
    <row r="50" spans="1:22" x14ac:dyDescent="0.2">
      <c r="A50">
        <v>40</v>
      </c>
      <c r="B50">
        <v>568</v>
      </c>
      <c r="C50">
        <v>0.43</v>
      </c>
      <c r="D50">
        <v>316.18</v>
      </c>
      <c r="E50">
        <v>14.330000000000041</v>
      </c>
      <c r="F50">
        <v>567.98856796913651</v>
      </c>
      <c r="G50">
        <v>1.9893412343339711</v>
      </c>
      <c r="H50">
        <v>1.9893412343339707</v>
      </c>
      <c r="I50" t="str">
        <v>N</v>
      </c>
      <c r="J50">
        <v>2.3598749876774536</v>
      </c>
      <c r="K50" t="str">
        <v>W</v>
      </c>
      <c r="L50">
        <v>3.0865010131355972</v>
      </c>
      <c r="M50">
        <v>310.13041494551902</v>
      </c>
      <c r="N50">
        <v>0.1500803604633561</v>
      </c>
      <c r="O50">
        <v>-0.13956734124214906</v>
      </c>
      <c r="P50">
        <v>-7.1877180739704798</v>
      </c>
      <c r="U50">
        <v>1.9893412343339707</v>
      </c>
      <c r="V50">
        <v>-2.3598749876774536</v>
      </c>
    </row>
    <row r="51" spans="1:22" x14ac:dyDescent="0.2">
      <c r="A51">
        <v>41</v>
      </c>
      <c r="B51">
        <v>582</v>
      </c>
      <c r="C51">
        <v>0.37</v>
      </c>
      <c r="D51">
        <v>318.57</v>
      </c>
      <c r="E51">
        <v>14</v>
      </c>
      <c r="F51">
        <v>581.98822487996915</v>
      </c>
      <c r="G51">
        <v>2.0611375806618231</v>
      </c>
      <c r="H51">
        <v>2.0611375806618231</v>
      </c>
      <c r="I51" t="str">
        <v>N</v>
      </c>
      <c r="J51">
        <v>2.4261607152749116</v>
      </c>
      <c r="K51" t="str">
        <v>W</v>
      </c>
      <c r="L51">
        <v>3.183479848021618</v>
      </c>
      <c r="M51">
        <v>310.34946531850653</v>
      </c>
      <c r="N51">
        <v>0.44474196902197438</v>
      </c>
      <c r="O51">
        <v>-0.4285714285714286</v>
      </c>
      <c r="P51">
        <v>17.071428571428473</v>
      </c>
      <c r="U51">
        <v>2.0611375806618231</v>
      </c>
      <c r="V51">
        <v>-2.4261607152749116</v>
      </c>
    </row>
    <row r="52" spans="1:22" x14ac:dyDescent="0.2">
      <c r="A52">
        <v>42</v>
      </c>
      <c r="B52">
        <v>596</v>
      </c>
      <c r="C52">
        <v>0.32</v>
      </c>
      <c r="D52">
        <v>321.83999999999997</v>
      </c>
      <c r="E52">
        <v>14</v>
      </c>
      <c r="F52">
        <v>595.98796974844026</v>
      </c>
      <c r="G52">
        <v>2.1257698110174705</v>
      </c>
      <c r="H52">
        <v>2.125769811017471</v>
      </c>
      <c r="I52" t="str">
        <v>N</v>
      </c>
      <c r="J52">
        <v>2.4802275451617257</v>
      </c>
      <c r="K52" t="str">
        <v>W</v>
      </c>
      <c r="L52">
        <v>3.2665617957130726</v>
      </c>
      <c r="M52">
        <v>310.5994366853659</v>
      </c>
      <c r="N52">
        <v>0.38369500145710062</v>
      </c>
      <c r="O52">
        <v>-0.3571428571428571</v>
      </c>
      <c r="P52">
        <v>23.35714285714273</v>
      </c>
      <c r="U52">
        <v>2.125769811017471</v>
      </c>
      <c r="V52">
        <v>-2.4802275451617257</v>
      </c>
    </row>
    <row r="53" spans="1:22" x14ac:dyDescent="0.2">
      <c r="A53">
        <v>43</v>
      </c>
      <c r="B53">
        <v>610</v>
      </c>
      <c r="C53">
        <v>0.26</v>
      </c>
      <c r="D53">
        <v>326.58</v>
      </c>
      <c r="E53">
        <v>14</v>
      </c>
      <c r="F53">
        <v>609.98778850148301</v>
      </c>
      <c r="G53">
        <v>2.1830226321511592</v>
      </c>
      <c r="H53">
        <v>2.1830226321511601</v>
      </c>
      <c r="I53" t="str">
        <v>N</v>
      </c>
      <c r="J53">
        <v>2.5218780852676952</v>
      </c>
      <c r="K53" t="str">
        <v>W</v>
      </c>
      <c r="L53">
        <v>3.3354845059507676</v>
      </c>
      <c r="M53">
        <v>310.88056727212484</v>
      </c>
      <c r="N53">
        <v>0.4612036809007713</v>
      </c>
      <c r="O53">
        <v>-0.4285714285714286</v>
      </c>
      <c r="P53">
        <v>33.857142857142925</v>
      </c>
      <c r="U53">
        <v>2.1830226321511601</v>
      </c>
      <c r="V53">
        <v>-2.5218780852676952</v>
      </c>
    </row>
    <row r="54" spans="1:22" x14ac:dyDescent="0.2">
      <c r="A54">
        <v>44</v>
      </c>
      <c r="B54">
        <v>624</v>
      </c>
      <c r="C54">
        <v>0.2</v>
      </c>
      <c r="D54">
        <v>333.89</v>
      </c>
      <c r="E54">
        <v>14</v>
      </c>
      <c r="F54">
        <v>623.98767378272964</v>
      </c>
      <c r="G54">
        <v>2.2314764038755537</v>
      </c>
      <c r="H54">
        <v>2.2314764038755559</v>
      </c>
      <c r="I54" t="str">
        <v>N</v>
      </c>
      <c r="J54">
        <v>2.5501268471280079</v>
      </c>
      <c r="K54" t="str">
        <v>W</v>
      </c>
      <c r="L54">
        <v>3.3886035291099517</v>
      </c>
      <c r="M54">
        <v>311.18739377411271</v>
      </c>
      <c r="N54">
        <v>0.47623531636793953</v>
      </c>
      <c r="O54">
        <v>-0.4285714285714286</v>
      </c>
      <c r="P54">
        <v>52.214285714285737</v>
      </c>
      <c r="U54">
        <v>2.2314764038755559</v>
      </c>
      <c r="V54">
        <v>-2.5501268471280079</v>
      </c>
    </row>
    <row r="55" spans="1:22" x14ac:dyDescent="0.2">
      <c r="A55">
        <v>45</v>
      </c>
      <c r="B55">
        <v>638</v>
      </c>
      <c r="C55">
        <v>0.16</v>
      </c>
      <c r="D55">
        <v>346.05</v>
      </c>
      <c r="E55">
        <v>14</v>
      </c>
      <c r="F55">
        <v>637.98760384263107</v>
      </c>
      <c r="G55">
        <v>2.272388568680944</v>
      </c>
      <c r="H55">
        <v>2.2723885686809462</v>
      </c>
      <c r="I55" t="str">
        <v>N</v>
      </c>
      <c r="J55">
        <v>2.5655928505832888</v>
      </c>
      <c r="K55" t="str">
        <v>W</v>
      </c>
      <c r="L55">
        <v>3.4272461951304174</v>
      </c>
      <c r="M55">
        <v>311.53184995401193</v>
      </c>
      <c r="N55">
        <v>0.39356762473805951</v>
      </c>
      <c r="O55">
        <v>-0.28571428571428581</v>
      </c>
      <c r="P55">
        <v>86.857142857143046</v>
      </c>
      <c r="U55">
        <v>2.2723885686809462</v>
      </c>
      <c r="V55">
        <v>-2.5655928505832888</v>
      </c>
    </row>
    <row r="56" spans="1:22" x14ac:dyDescent="0.2">
      <c r="A56">
        <v>46</v>
      </c>
      <c r="B56">
        <v>652</v>
      </c>
      <c r="C56">
        <v>0.12</v>
      </c>
      <c r="D56">
        <v>7.05</v>
      </c>
      <c r="E56">
        <v>14</v>
      </c>
      <c r="F56">
        <v>651.98756119621567</v>
      </c>
      <c r="G56">
        <v>2.305909612629395</v>
      </c>
      <c r="H56">
        <v>2.3059096126293945</v>
      </c>
      <c r="I56" t="str">
        <v>N</v>
      </c>
      <c r="J56">
        <v>2.5685059099793213</v>
      </c>
      <c r="K56" t="str">
        <v>W</v>
      </c>
      <c r="L56">
        <v>3.4517302547005824</v>
      </c>
      <c r="M56">
        <v>311.91632167038745</v>
      </c>
      <c r="N56">
        <v>0.4601744797376619</v>
      </c>
      <c r="O56">
        <v>-0.28571428571428581</v>
      </c>
      <c r="P56">
        <v>-2421.4285714285716</v>
      </c>
      <c r="U56">
        <v>2.3059096126293945</v>
      </c>
      <c r="V56">
        <v>-2.5685059099793213</v>
      </c>
    </row>
    <row r="57" spans="1:22" x14ac:dyDescent="0.2">
      <c r="A57">
        <v>47</v>
      </c>
      <c r="B57">
        <v>666.33</v>
      </c>
      <c r="C57">
        <v>0.16</v>
      </c>
      <c r="D57">
        <v>351.1</v>
      </c>
      <c r="E57">
        <v>14.330000000000041</v>
      </c>
      <c r="F57">
        <v>666.31751754456332</v>
      </c>
      <c r="G57">
        <v>2.3405700104235416</v>
      </c>
      <c r="H57">
        <v>2.340570010423543</v>
      </c>
      <c r="I57" t="str">
        <v>N</v>
      </c>
      <c r="J57">
        <v>2.569759612928058</v>
      </c>
      <c r="K57" t="str">
        <v>W</v>
      </c>
      <c r="L57">
        <v>3.4759074271232002</v>
      </c>
      <c r="M57">
        <v>312.32765935996099</v>
      </c>
      <c r="N57">
        <v>0.38717835755906349</v>
      </c>
      <c r="O57">
        <v>0.2791346824842979</v>
      </c>
      <c r="P57">
        <v>2400.9071877180672</v>
      </c>
      <c r="U57">
        <v>2.340570010423543</v>
      </c>
      <c r="V57">
        <v>-2.569759612928058</v>
      </c>
    </row>
    <row r="58" spans="1:22" x14ac:dyDescent="0.2">
      <c r="A58">
        <v>48</v>
      </c>
      <c r="B58">
        <v>680.67</v>
      </c>
      <c r="C58">
        <v>0.21</v>
      </c>
      <c r="D58">
        <v>342.23</v>
      </c>
      <c r="E58">
        <v>14.339999999999918</v>
      </c>
      <c r="F58">
        <v>680.65744142850986</v>
      </c>
      <c r="G58">
        <v>2.3853768868015801</v>
      </c>
      <c r="H58">
        <v>2.385376886801581</v>
      </c>
      <c r="I58" t="str">
        <v>N</v>
      </c>
      <c r="J58">
        <v>2.5808776606505064</v>
      </c>
      <c r="K58" t="str">
        <v>W</v>
      </c>
      <c r="L58">
        <v>3.5143921795001809</v>
      </c>
      <c r="M58">
        <v>312.74566761307875</v>
      </c>
      <c r="N58">
        <v>0.40081919068770294</v>
      </c>
      <c r="O58">
        <v>0.3486750348675054</v>
      </c>
      <c r="P58">
        <v>-61.854951185495501</v>
      </c>
      <c r="U58">
        <v>2.385376886801581</v>
      </c>
      <c r="V58">
        <v>-2.5808776606505064</v>
      </c>
    </row>
    <row r="59" spans="1:22" x14ac:dyDescent="0.2">
      <c r="A59">
        <v>49</v>
      </c>
      <c r="B59">
        <v>695</v>
      </c>
      <c r="C59">
        <v>0.27</v>
      </c>
      <c r="D59">
        <v>336.82</v>
      </c>
      <c r="E59">
        <v>14.330000000000041</v>
      </c>
      <c r="F59">
        <v>694.98731374755789</v>
      </c>
      <c r="G59">
        <v>2.441423449984458</v>
      </c>
      <c r="H59">
        <v>2.4414234499844589</v>
      </c>
      <c r="I59" t="str">
        <v>N</v>
      </c>
      <c r="J59">
        <v>2.6021827204439267</v>
      </c>
      <c r="K59" t="str">
        <v>W</v>
      </c>
      <c r="L59">
        <v>3.5681792797883594</v>
      </c>
      <c r="M59">
        <v>313.17437958560328</v>
      </c>
      <c r="N59">
        <v>0.44711322069189213</v>
      </c>
      <c r="O59">
        <v>0.41870202372644699</v>
      </c>
      <c r="P59">
        <v>-37.752965806001463</v>
      </c>
      <c r="U59">
        <v>2.4414234499844589</v>
      </c>
      <c r="V59">
        <v>-2.6021827204439267</v>
      </c>
    </row>
    <row r="60" spans="1:22" x14ac:dyDescent="0.2">
      <c r="A60">
        <v>50</v>
      </c>
      <c r="B60">
        <v>709.33</v>
      </c>
      <c r="C60">
        <v>0.32</v>
      </c>
      <c r="D60">
        <v>333.24</v>
      </c>
      <c r="E60">
        <v>14.330000000000041</v>
      </c>
      <c r="F60">
        <v>709.31712244452444</v>
      </c>
      <c r="G60">
        <v>2.5081928345284501</v>
      </c>
      <c r="H60">
        <v>2.5081928345284501</v>
      </c>
      <c r="I60" t="str">
        <v>N</v>
      </c>
      <c r="J60">
        <v>2.6334906886506131</v>
      </c>
      <c r="K60" t="str">
        <v>W</v>
      </c>
      <c r="L60">
        <v>3.6367986612389394</v>
      </c>
      <c r="M60">
        <v>313.60403356080008</v>
      </c>
      <c r="N60">
        <v>0.37170542165250214</v>
      </c>
      <c r="O60">
        <v>0.34891835310537228</v>
      </c>
      <c r="P60">
        <v>-24.982554082344549</v>
      </c>
      <c r="U60">
        <v>2.5081928345284501</v>
      </c>
      <c r="V60">
        <v>-2.6334906886506131</v>
      </c>
    </row>
    <row r="61" spans="1:22" x14ac:dyDescent="0.2">
      <c r="A61">
        <v>51</v>
      </c>
      <c r="B61">
        <v>723.67</v>
      </c>
      <c r="C61">
        <v>0.38</v>
      </c>
      <c r="D61">
        <v>330.72</v>
      </c>
      <c r="E61">
        <v>14.339999999999918</v>
      </c>
      <c r="F61">
        <v>723.65685292660169</v>
      </c>
      <c r="G61">
        <v>2.585426233031475</v>
      </c>
      <c r="H61">
        <v>2.585426233031475</v>
      </c>
      <c r="I61" t="str">
        <v>N</v>
      </c>
      <c r="J61">
        <v>2.6747780273018447</v>
      </c>
      <c r="K61" t="str">
        <v>W</v>
      </c>
      <c r="L61">
        <v>3.7200626744430085</v>
      </c>
      <c r="M61">
        <v>314.02684607875352</v>
      </c>
      <c r="N61">
        <v>0.43186115572532874</v>
      </c>
      <c r="O61">
        <v>0.41841004184100655</v>
      </c>
      <c r="P61">
        <v>-17.573221757322148</v>
      </c>
      <c r="U61">
        <v>2.585426233031475</v>
      </c>
      <c r="V61">
        <v>-2.6747780273018447</v>
      </c>
    </row>
    <row r="62" spans="1:22" x14ac:dyDescent="0.2">
      <c r="A62">
        <v>52</v>
      </c>
      <c r="B62">
        <v>738</v>
      </c>
      <c r="C62">
        <v>0.44</v>
      </c>
      <c r="D62">
        <v>328.84</v>
      </c>
      <c r="E62">
        <v>14.330000000000041</v>
      </c>
      <c r="F62">
        <v>737.98648407155326</v>
      </c>
      <c r="G62">
        <v>2.6739591920107491</v>
      </c>
      <c r="H62">
        <v>2.6739591920107504</v>
      </c>
      <c r="I62" t="str">
        <v>N</v>
      </c>
      <c r="J62">
        <v>2.7264892683173203</v>
      </c>
      <c r="K62" t="str">
        <v>W</v>
      </c>
      <c r="L62">
        <v>3.8188743748372111</v>
      </c>
      <c r="M62">
        <v>314.44270243932601</v>
      </c>
      <c r="N62">
        <v>0.42904161684438485</v>
      </c>
      <c r="O62">
        <v>0.41870202372644677</v>
      </c>
      <c r="P62">
        <v>-13.119330076762365</v>
      </c>
      <c r="U62">
        <v>2.6739591920107504</v>
      </c>
      <c r="V62">
        <v>-2.7264892683173203</v>
      </c>
    </row>
    <row r="63" spans="1:22" x14ac:dyDescent="0.2">
      <c r="A63">
        <v>53</v>
      </c>
      <c r="B63">
        <v>752.33</v>
      </c>
      <c r="C63">
        <v>0.46</v>
      </c>
      <c r="D63">
        <v>332.71</v>
      </c>
      <c r="E63">
        <v>14.330000000000041</v>
      </c>
      <c r="F63">
        <v>752.31604188235144</v>
      </c>
      <c r="G63">
        <v>2.7721646836427558</v>
      </c>
      <c r="H63">
        <v>2.7721646836427558</v>
      </c>
      <c r="I63" t="str">
        <v>N</v>
      </c>
      <c r="J63">
        <v>2.7813339460051005</v>
      </c>
      <c r="K63" t="str">
        <v>W</v>
      </c>
      <c r="L63">
        <v>3.9269218928362255</v>
      </c>
      <c r="M63">
        <v>314.90540025445961</v>
      </c>
      <c r="N63">
        <v>0.25382694442626147</v>
      </c>
      <c r="O63">
        <v>0.13956734124214906</v>
      </c>
      <c r="P63">
        <v>27.006280530355852</v>
      </c>
      <c r="U63">
        <v>2.7721646836427558</v>
      </c>
      <c r="V63">
        <v>-2.7813339460051005</v>
      </c>
    </row>
    <row r="64" spans="1:22" x14ac:dyDescent="0.2">
      <c r="A64">
        <v>54</v>
      </c>
      <c r="B64">
        <v>766.67</v>
      </c>
      <c r="C64">
        <v>0.49</v>
      </c>
      <c r="D64">
        <v>336.14</v>
      </c>
      <c r="E64">
        <v>14.339999999999918</v>
      </c>
      <c r="F64">
        <v>766.65554860464738</v>
      </c>
      <c r="G64">
        <v>2.8793989699476961</v>
      </c>
      <c r="H64">
        <v>2.8793989699476952</v>
      </c>
      <c r="I64" t="str">
        <v>N</v>
      </c>
      <c r="J64">
        <v>2.8325299332754721</v>
      </c>
      <c r="K64" t="str">
        <v>W</v>
      </c>
      <c r="L64">
        <v>4.0390796292023508</v>
      </c>
      <c r="M64">
        <v>315.47012800231062</v>
      </c>
      <c r="N64">
        <v>0.28816065682795083</v>
      </c>
      <c r="O64">
        <v>0.20920502092050308</v>
      </c>
      <c r="P64">
        <v>23.919107391910924</v>
      </c>
      <c r="U64">
        <v>2.8793989699476952</v>
      </c>
      <c r="V64">
        <v>-2.8325299332754721</v>
      </c>
    </row>
    <row r="65" spans="1:22" x14ac:dyDescent="0.2">
      <c r="A65">
        <v>55</v>
      </c>
      <c r="B65">
        <v>781</v>
      </c>
      <c r="C65">
        <v>0.52</v>
      </c>
      <c r="D65">
        <v>339.18</v>
      </c>
      <c r="E65">
        <v>14.330000000000041</v>
      </c>
      <c r="F65">
        <v>780.98499150375164</v>
      </c>
      <c r="G65">
        <v>2.9962177880475669</v>
      </c>
      <c r="H65">
        <v>2.9962177880475673</v>
      </c>
      <c r="I65" t="str">
        <v>N</v>
      </c>
      <c r="J65">
        <v>2.8804285373936134</v>
      </c>
      <c r="K65" t="str">
        <v>W</v>
      </c>
      <c r="L65">
        <v>4.1562229959957833</v>
      </c>
      <c r="M65">
        <v>316.12876914736432</v>
      </c>
      <c r="N65">
        <v>0.28062356040913183</v>
      </c>
      <c r="O65">
        <v>0.20935101186322358</v>
      </c>
      <c r="P65">
        <v>21.214235868806782</v>
      </c>
      <c r="U65">
        <v>2.9962177880475673</v>
      </c>
      <c r="V65">
        <v>-2.8804285373936134</v>
      </c>
    </row>
    <row r="66" spans="1:22" x14ac:dyDescent="0.2">
      <c r="A66">
        <v>56</v>
      </c>
      <c r="B66">
        <v>795.33</v>
      </c>
      <c r="C66">
        <v>0.55000000000000004</v>
      </c>
      <c r="D66">
        <v>341.88</v>
      </c>
      <c r="E66">
        <v>14.330000000000041</v>
      </c>
      <c r="F66">
        <v>795.31436630717894</v>
      </c>
      <c r="G66">
        <v>3.1223653590050104</v>
      </c>
      <c r="H66">
        <v>3.1223653590050078</v>
      </c>
      <c r="I66" t="str">
        <v>N</v>
      </c>
      <c r="J66">
        <v>2.9249316722418826</v>
      </c>
      <c r="K66" t="str">
        <v>W</v>
      </c>
      <c r="L66">
        <v>4.2783630891262803</v>
      </c>
      <c r="M66">
        <v>316.86994292958695</v>
      </c>
      <c r="N66">
        <v>0.27340357743243138</v>
      </c>
      <c r="O66">
        <v>0.20935101186322358</v>
      </c>
      <c r="P66">
        <v>18.841591067690025</v>
      </c>
      <c r="U66">
        <v>3.1223653590050078</v>
      </c>
      <c r="V66">
        <v>-2.9249316722418826</v>
      </c>
    </row>
    <row r="67" spans="1:22" x14ac:dyDescent="0.2">
      <c r="A67">
        <v>57</v>
      </c>
      <c r="B67">
        <v>809.67</v>
      </c>
      <c r="C67">
        <v>0.59</v>
      </c>
      <c r="D67">
        <v>344.29</v>
      </c>
      <c r="E67">
        <v>14.339999999999918</v>
      </c>
      <c r="F67">
        <v>809.65365582310017</v>
      </c>
      <c r="G67">
        <v>3.2588514401802331</v>
      </c>
      <c r="H67">
        <v>3.2588514401802344</v>
      </c>
      <c r="I67" t="str">
        <v>N</v>
      </c>
      <c r="J67">
        <v>2.9663283269569014</v>
      </c>
      <c r="K67" t="str">
        <v>W</v>
      </c>
      <c r="L67">
        <v>4.4067240045720713</v>
      </c>
      <c r="M67">
        <v>317.69036728810386</v>
      </c>
      <c r="N67">
        <v>0.32514896318272501</v>
      </c>
      <c r="O67">
        <v>0.27894002789400385</v>
      </c>
      <c r="P67">
        <v>16.806136680613939</v>
      </c>
      <c r="U67">
        <v>3.2588514401802344</v>
      </c>
      <c r="V67">
        <v>-2.9663283269569014</v>
      </c>
    </row>
    <row r="68" spans="1:22" x14ac:dyDescent="0.2">
      <c r="A68">
        <v>58</v>
      </c>
      <c r="B68">
        <v>824</v>
      </c>
      <c r="C68">
        <v>0.62</v>
      </c>
      <c r="D68">
        <v>346.43</v>
      </c>
      <c r="E68">
        <v>14.330000000000041</v>
      </c>
      <c r="F68">
        <v>823.98285645922886</v>
      </c>
      <c r="G68">
        <v>3.405242113561552</v>
      </c>
      <c r="H68">
        <v>3.4052421135615512</v>
      </c>
      <c r="I68" t="str">
        <v>N</v>
      </c>
      <c r="J68">
        <v>3.0044969916088187</v>
      </c>
      <c r="K68" t="str">
        <v>W</v>
      </c>
      <c r="L68">
        <v>4.5412196626632788</v>
      </c>
      <c r="M68">
        <v>318.57754913833236</v>
      </c>
      <c r="N68">
        <v>0.26205809910362771</v>
      </c>
      <c r="O68">
        <v>0.20935101186322358</v>
      </c>
      <c r="P68">
        <v>14.933705512909841</v>
      </c>
      <c r="U68">
        <v>3.4052421135615512</v>
      </c>
      <c r="V68">
        <v>-3.0044969916088187</v>
      </c>
    </row>
    <row r="69" spans="1:22" x14ac:dyDescent="0.2">
      <c r="A69">
        <v>59</v>
      </c>
      <c r="B69">
        <v>838.5</v>
      </c>
      <c r="C69">
        <v>0.63</v>
      </c>
      <c r="D69">
        <v>346.02</v>
      </c>
      <c r="E69">
        <v>14.5</v>
      </c>
      <c r="F69">
        <v>838.48199372652243</v>
      </c>
      <c r="G69">
        <v>3.5588582120536438</v>
      </c>
      <c r="H69">
        <v>3.5588582120536461</v>
      </c>
      <c r="I69" t="str">
        <v>N</v>
      </c>
      <c r="J69">
        <v>3.0421623216207627</v>
      </c>
      <c r="K69" t="str">
        <v>W</v>
      </c>
      <c r="L69">
        <v>4.6819038183831481</v>
      </c>
      <c r="M69">
        <v>319.47570988849833</v>
      </c>
      <c r="N69">
        <v>7.5548020356539028E-2</v>
      </c>
      <c r="O69">
        <v>6.8965517241379365E-2</v>
      </c>
      <c r="P69">
        <v>-2.8275862068967239</v>
      </c>
      <c r="U69">
        <v>3.5588582120536461</v>
      </c>
      <c r="V69">
        <v>-3.0421623216207627</v>
      </c>
    </row>
    <row r="70" spans="1:22" x14ac:dyDescent="0.2">
      <c r="A70">
        <v>60</v>
      </c>
      <c r="B70">
        <v>853</v>
      </c>
      <c r="C70">
        <v>0.64</v>
      </c>
      <c r="D70">
        <v>345.63</v>
      </c>
      <c r="E70">
        <v>14.5</v>
      </c>
      <c r="F70">
        <v>852.9811031675755</v>
      </c>
      <c r="G70">
        <v>3.7146612730847797</v>
      </c>
      <c r="H70">
        <v>3.7146612730847792</v>
      </c>
      <c r="I70" t="str">
        <v>N</v>
      </c>
      <c r="J70">
        <v>3.0815186717181193</v>
      </c>
      <c r="K70" t="str">
        <v>W</v>
      </c>
      <c r="L70">
        <v>4.8264340561022108</v>
      </c>
      <c r="M70">
        <v>320.32240079385815</v>
      </c>
      <c r="N70">
        <v>7.5131387190901011E-2</v>
      </c>
      <c r="O70">
        <v>6.8965517241379365E-2</v>
      </c>
      <c r="P70">
        <v>-2.689655172413699</v>
      </c>
      <c r="U70">
        <v>3.7146612730847792</v>
      </c>
      <c r="V70">
        <v>-3.0815186717181193</v>
      </c>
    </row>
    <row r="71" spans="1:22" x14ac:dyDescent="0.2">
      <c r="A71">
        <v>61</v>
      </c>
      <c r="B71">
        <v>867.5</v>
      </c>
      <c r="C71">
        <v>0.64</v>
      </c>
      <c r="D71">
        <v>345.24</v>
      </c>
      <c r="E71">
        <v>14.5</v>
      </c>
      <c r="F71">
        <v>867.48019858509122</v>
      </c>
      <c r="G71">
        <v>3.8714185359616224</v>
      </c>
      <c r="H71">
        <v>3.8714185359616238</v>
      </c>
      <c r="I71" t="str">
        <v>N</v>
      </c>
      <c r="J71">
        <v>3.1222486417899646</v>
      </c>
      <c r="K71" t="str">
        <v>W</v>
      </c>
      <c r="L71">
        <v>4.9735619089085965</v>
      </c>
      <c r="M71">
        <v>321.11427576046668</v>
      </c>
      <c r="N71">
        <v>3.0043053805599421E-2</v>
      </c>
      <c r="O71">
        <v>0</v>
      </c>
      <c r="P71">
        <v>-2.689655172413699</v>
      </c>
      <c r="U71">
        <v>3.8714185359616238</v>
      </c>
      <c r="V71">
        <v>-3.1222486417899646</v>
      </c>
    </row>
    <row r="72" spans="1:22" x14ac:dyDescent="0.2">
      <c r="A72">
        <v>62</v>
      </c>
      <c r="B72">
        <v>882</v>
      </c>
      <c r="C72">
        <v>0.65</v>
      </c>
      <c r="D72">
        <v>344.86</v>
      </c>
      <c r="E72">
        <v>14.5</v>
      </c>
      <c r="F72">
        <v>881.97927975823575</v>
      </c>
      <c r="G72">
        <v>4.0291199882999607</v>
      </c>
      <c r="H72">
        <v>4.0291199882999624</v>
      </c>
      <c r="I72" t="str">
        <v>N</v>
      </c>
      <c r="J72">
        <v>3.1643614946796181</v>
      </c>
      <c r="K72" t="str">
        <v>W</v>
      </c>
      <c r="L72">
        <v>5.1231817798248498</v>
      </c>
      <c r="M72">
        <v>321.85487063738356</v>
      </c>
      <c r="N72">
        <v>7.5010153874660576E-2</v>
      </c>
      <c r="O72">
        <v>6.8965517241379365E-2</v>
      </c>
      <c r="P72">
        <v>-2.6206896551723822</v>
      </c>
      <c r="U72">
        <v>4.0291199882999624</v>
      </c>
      <c r="V72">
        <v>-3.1643614946796181</v>
      </c>
    </row>
    <row r="73" spans="1:22" x14ac:dyDescent="0.2">
      <c r="A73">
        <v>63</v>
      </c>
      <c r="B73">
        <v>896.5</v>
      </c>
      <c r="C73">
        <v>0.66</v>
      </c>
      <c r="D73">
        <v>344.49</v>
      </c>
      <c r="E73">
        <v>14.5</v>
      </c>
      <c r="F73">
        <v>896.47833222180441</v>
      </c>
      <c r="G73">
        <v>4.188983081563304</v>
      </c>
      <c r="H73">
        <v>4.188983081563304</v>
      </c>
      <c r="I73" t="str">
        <v>N</v>
      </c>
      <c r="J73">
        <v>3.208174306895792</v>
      </c>
      <c r="K73" t="str">
        <v>W</v>
      </c>
      <c r="L73">
        <v>5.2763587483272865</v>
      </c>
      <c r="M73">
        <v>322.55294314003777</v>
      </c>
      <c r="N73">
        <v>7.4880600958593918E-2</v>
      </c>
      <c r="O73">
        <v>6.8965517241379365E-2</v>
      </c>
      <c r="P73">
        <v>-2.5517241379310658</v>
      </c>
      <c r="U73">
        <v>4.188983081563304</v>
      </c>
      <c r="V73">
        <v>-3.208174306895792</v>
      </c>
    </row>
    <row r="74" spans="1:22" x14ac:dyDescent="0.2">
      <c r="A74">
        <v>64</v>
      </c>
      <c r="B74">
        <v>911</v>
      </c>
      <c r="C74">
        <v>0.67</v>
      </c>
      <c r="D74">
        <v>344.13</v>
      </c>
      <c r="E74">
        <v>14.5</v>
      </c>
      <c r="F74">
        <v>910.97735553413088</v>
      </c>
      <c r="G74">
        <v>4.3510001559055969</v>
      </c>
      <c r="H74">
        <v>4.3510001559055995</v>
      </c>
      <c r="I74" t="str">
        <v>N</v>
      </c>
      <c r="J74">
        <v>3.2536888714366379</v>
      </c>
      <c r="K74" t="str">
        <v>W</v>
      </c>
      <c r="L74">
        <v>5.4330188319939747</v>
      </c>
      <c r="M74">
        <v>323.21076751826087</v>
      </c>
      <c r="N74">
        <v>7.474300477552126E-2</v>
      </c>
      <c r="O74">
        <v>6.8965517241379365E-2</v>
      </c>
      <c r="P74">
        <v>-2.482758620689749</v>
      </c>
      <c r="U74">
        <v>4.3510001559055995</v>
      </c>
      <c r="V74">
        <v>-3.2536888714366379</v>
      </c>
    </row>
    <row r="75" spans="1:22" x14ac:dyDescent="0.2">
      <c r="A75">
        <v>65</v>
      </c>
      <c r="B75">
        <v>925.33</v>
      </c>
      <c r="C75">
        <v>0.67</v>
      </c>
      <c r="D75">
        <v>341.08</v>
      </c>
      <c r="E75">
        <v>14.330000000000041</v>
      </c>
      <c r="F75">
        <v>925.30637578342191</v>
      </c>
      <c r="G75">
        <v>4.5108470691096594</v>
      </c>
      <c r="H75">
        <v>4.5108470691096594</v>
      </c>
      <c r="I75" t="str">
        <v>N</v>
      </c>
      <c r="J75">
        <v>3.3037665388096134</v>
      </c>
      <c r="K75" t="str">
        <v>W</v>
      </c>
      <c r="L75">
        <v>5.5912981161670547</v>
      </c>
      <c r="M75">
        <v>323.78076955853487</v>
      </c>
      <c r="N75">
        <v>0.24885401365087703</v>
      </c>
      <c r="O75">
        <v>0</v>
      </c>
      <c r="P75">
        <v>-21.284019539427792</v>
      </c>
      <c r="U75">
        <v>4.5108470691096594</v>
      </c>
      <c r="V75">
        <v>-3.3037665388096134</v>
      </c>
    </row>
    <row r="76" spans="1:22" x14ac:dyDescent="0.2">
      <c r="A76">
        <v>66</v>
      </c>
      <c r="B76">
        <v>939.67</v>
      </c>
      <c r="C76">
        <v>0.68</v>
      </c>
      <c r="D76">
        <v>338.08</v>
      </c>
      <c r="E76">
        <v>14.339999999999918</v>
      </c>
      <c r="F76">
        <v>939.6453806066263</v>
      </c>
      <c r="G76">
        <v>4.6691007783521776</v>
      </c>
      <c r="H76">
        <v>4.6691007783521776</v>
      </c>
      <c r="I76" t="str">
        <v>N</v>
      </c>
      <c r="J76">
        <v>3.3627184070261764</v>
      </c>
      <c r="K76" t="str">
        <v>W</v>
      </c>
      <c r="L76">
        <v>5.7539879356287829</v>
      </c>
      <c r="M76">
        <v>324.23830782027392</v>
      </c>
      <c r="N76">
        <v>0.25610034882849303</v>
      </c>
      <c r="O76">
        <v>6.9735006973501157E-2</v>
      </c>
      <c r="P76">
        <v>-20.920502092050327</v>
      </c>
      <c r="U76">
        <v>4.6691007783521776</v>
      </c>
      <c r="V76">
        <v>-3.3627184070261764</v>
      </c>
    </row>
    <row r="77" spans="1:22" x14ac:dyDescent="0.2">
      <c r="A77">
        <v>67</v>
      </c>
      <c r="B77">
        <v>954</v>
      </c>
      <c r="C77">
        <v>0.69</v>
      </c>
      <c r="D77">
        <v>335.16</v>
      </c>
      <c r="E77">
        <v>14.330000000000041</v>
      </c>
      <c r="F77">
        <v>953.97435644137454</v>
      </c>
      <c r="G77">
        <v>4.8262889965708524</v>
      </c>
      <c r="H77">
        <v>4.8262889965708533</v>
      </c>
      <c r="I77" t="str">
        <v>N</v>
      </c>
      <c r="J77">
        <v>3.4307093989447663</v>
      </c>
      <c r="K77" t="str">
        <v>W</v>
      </c>
      <c r="L77">
        <v>5.9213877139086959</v>
      </c>
      <c r="M77">
        <v>324.59334051874129</v>
      </c>
      <c r="N77">
        <v>0.25337591726835357</v>
      </c>
      <c r="O77">
        <v>6.9783670621073754E-2</v>
      </c>
      <c r="P77">
        <v>-20.376831821353459</v>
      </c>
      <c r="U77">
        <v>4.8262889965708533</v>
      </c>
      <c r="V77">
        <v>-3.4307093989447663</v>
      </c>
    </row>
    <row r="78" spans="1:22" x14ac:dyDescent="0.2">
      <c r="A78">
        <v>68</v>
      </c>
      <c r="B78">
        <v>968.33</v>
      </c>
      <c r="C78">
        <v>0.7</v>
      </c>
      <c r="D78">
        <v>332.32</v>
      </c>
      <c r="E78">
        <v>14.330000000000041</v>
      </c>
      <c r="F78">
        <v>968.30330215719437</v>
      </c>
      <c r="G78">
        <v>4.9821076849759205</v>
      </c>
      <c r="H78">
        <v>4.9821076849759214</v>
      </c>
      <c r="I78" t="str">
        <v>N</v>
      </c>
      <c r="J78">
        <v>3.5076190378527139</v>
      </c>
      <c r="K78" t="str">
        <v>W</v>
      </c>
      <c r="L78">
        <v>6.0930114310907815</v>
      </c>
      <c r="M78">
        <v>324.85279957417208</v>
      </c>
      <c r="N78">
        <v>0.25028829192526109</v>
      </c>
      <c r="O78">
        <v>6.9783670621074531E-2</v>
      </c>
      <c r="P78">
        <v>-19.818562456385372</v>
      </c>
      <c r="U78">
        <v>4.9821076849759214</v>
      </c>
      <c r="V78">
        <v>-3.5076190378527139</v>
      </c>
    </row>
    <row r="79" spans="1:22" x14ac:dyDescent="0.2">
      <c r="A79">
        <v>69</v>
      </c>
      <c r="B79">
        <v>982.67</v>
      </c>
      <c r="C79">
        <v>0.71</v>
      </c>
      <c r="D79">
        <v>329.57</v>
      </c>
      <c r="E79">
        <v>14.339999999999918</v>
      </c>
      <c r="F79">
        <v>982.64221656056009</v>
      </c>
      <c r="G79">
        <v>5.136287116694592</v>
      </c>
      <c r="H79">
        <v>5.1362871166945947</v>
      </c>
      <c r="I79" t="str">
        <v>N</v>
      </c>
      <c r="J79">
        <v>3.5933100208584081</v>
      </c>
      <c r="K79" t="str">
        <v>W</v>
      </c>
      <c r="L79">
        <v>6.2684385815866719</v>
      </c>
      <c r="M79">
        <v>325.02363707088739</v>
      </c>
      <c r="N79">
        <v>0.24602191243102978</v>
      </c>
      <c r="O79">
        <v>6.9735006973501157E-2</v>
      </c>
      <c r="P79">
        <v>-19.177126917712801</v>
      </c>
      <c r="U79">
        <v>5.1362871166945947</v>
      </c>
      <c r="V79">
        <v>-3.5933100208584081</v>
      </c>
    </row>
    <row r="80" spans="1:22" x14ac:dyDescent="0.2">
      <c r="A80">
        <v>70</v>
      </c>
      <c r="B80">
        <v>997</v>
      </c>
      <c r="C80">
        <v>0.73</v>
      </c>
      <c r="D80">
        <v>326.92</v>
      </c>
      <c r="E80">
        <v>14.330000000000041</v>
      </c>
      <c r="F80">
        <v>996.97108490575965</v>
      </c>
      <c r="G80">
        <v>5.2893315437214827</v>
      </c>
      <c r="H80">
        <v>5.2893315437214827</v>
      </c>
      <c r="I80" t="str">
        <v>N</v>
      </c>
      <c r="J80">
        <v>3.6881032663000437</v>
      </c>
      <c r="K80" t="str">
        <v>W</v>
      </c>
      <c r="L80">
        <v>6.448188418641327</v>
      </c>
      <c r="M80">
        <v>325.11301205080247</v>
      </c>
      <c r="N80">
        <v>0.27103378391201083</v>
      </c>
      <c r="O80">
        <v>0.13956734124214906</v>
      </c>
      <c r="P80">
        <v>-18.492672714584575</v>
      </c>
      <c r="U80">
        <v>5.2893315437214827</v>
      </c>
      <c r="V80">
        <v>-3.6881032663000437</v>
      </c>
    </row>
    <row r="81" spans="1:22" x14ac:dyDescent="0.2">
      <c r="A81">
        <v>71</v>
      </c>
      <c r="B81">
        <v>1011.5</v>
      </c>
      <c r="C81">
        <v>0.7</v>
      </c>
      <c r="D81">
        <v>324.08999999999997</v>
      </c>
      <c r="E81">
        <v>14.5</v>
      </c>
      <c r="F81">
        <v>1011.4699553952497</v>
      </c>
      <c r="G81">
        <v>5.4384673900776743</v>
      </c>
      <c r="H81">
        <v>5.4384673900776752</v>
      </c>
      <c r="I81" t="str">
        <v>N</v>
      </c>
      <c r="J81">
        <v>3.790468603454892</v>
      </c>
      <c r="K81" t="str">
        <v>W</v>
      </c>
      <c r="L81">
        <v>6.6290708086967634</v>
      </c>
      <c r="M81">
        <v>325.12451824888984</v>
      </c>
      <c r="N81">
        <v>0.31950789448656813</v>
      </c>
      <c r="O81">
        <v>-0.20689655172413809</v>
      </c>
      <c r="P81">
        <v>-19.517241379310626</v>
      </c>
      <c r="U81">
        <v>5.4384673900776752</v>
      </c>
      <c r="V81">
        <v>-3.790468603454892</v>
      </c>
    </row>
    <row r="82" spans="1:22" x14ac:dyDescent="0.2">
      <c r="A82">
        <v>72</v>
      </c>
      <c r="B82">
        <v>1026</v>
      </c>
      <c r="C82">
        <v>0.67</v>
      </c>
      <c r="D82">
        <v>321</v>
      </c>
      <c r="E82">
        <v>14.5</v>
      </c>
      <c r="F82">
        <v>1025.9689186384323</v>
      </c>
      <c r="G82">
        <v>5.5760907921375349</v>
      </c>
      <c r="H82">
        <v>5.5760907921375358</v>
      </c>
      <c r="I82" t="str">
        <v>N</v>
      </c>
      <c r="J82">
        <v>3.8957702032980279</v>
      </c>
      <c r="K82" t="str">
        <v>W</v>
      </c>
      <c r="L82">
        <v>6.8021918525623608</v>
      </c>
      <c r="M82">
        <v>325.05968768568493</v>
      </c>
      <c r="N82">
        <v>0.32812654231508492</v>
      </c>
      <c r="O82">
        <v>-0.20689655172413735</v>
      </c>
      <c r="P82">
        <v>-21.310344827586032</v>
      </c>
      <c r="U82">
        <v>5.5760907921375358</v>
      </c>
      <c r="V82">
        <v>-3.8957702032980279</v>
      </c>
    </row>
    <row r="83" spans="1:22" x14ac:dyDescent="0.2">
      <c r="A83">
        <v>73</v>
      </c>
      <c r="B83">
        <v>1040.5</v>
      </c>
      <c r="C83">
        <v>0.65</v>
      </c>
      <c r="D83">
        <v>317.67</v>
      </c>
      <c r="E83">
        <v>14.5</v>
      </c>
      <c r="F83">
        <v>1040.4679564159635</v>
      </c>
      <c r="G83">
        <v>5.7027785906839714</v>
      </c>
      <c r="H83">
        <v>5.7027785906839723</v>
      </c>
      <c r="I83" t="str">
        <v>N</v>
      </c>
      <c r="J83">
        <v>4.0045073940568763</v>
      </c>
      <c r="K83" t="str">
        <v>W</v>
      </c>
      <c r="L83">
        <v>6.9683400550934413</v>
      </c>
      <c r="M83">
        <v>324.92335994850191</v>
      </c>
      <c r="N83">
        <v>0.29827759885484084</v>
      </c>
      <c r="O83">
        <v>-0.13793103448275873</v>
      </c>
      <c r="P83">
        <v>-22.965517241379199</v>
      </c>
      <c r="U83">
        <v>5.7027785906839723</v>
      </c>
      <c r="V83">
        <v>-4.0045073940568763</v>
      </c>
    </row>
    <row r="84" spans="1:22" x14ac:dyDescent="0.2">
      <c r="A84">
        <v>74</v>
      </c>
      <c r="B84">
        <v>1055</v>
      </c>
      <c r="C84">
        <v>0.62</v>
      </c>
      <c r="D84">
        <v>314.08</v>
      </c>
      <c r="E84">
        <v>14.5</v>
      </c>
      <c r="F84">
        <v>1054.9670654153485</v>
      </c>
      <c r="G84">
        <v>5.8181573460078715</v>
      </c>
      <c r="H84">
        <v>5.8181573460078715</v>
      </c>
      <c r="I84" t="str">
        <v>N</v>
      </c>
      <c r="J84">
        <v>4.1162492090134464</v>
      </c>
      <c r="K84" t="str">
        <v>W</v>
      </c>
      <c r="L84">
        <v>7.1270233936482335</v>
      </c>
      <c r="M84">
        <v>324.72123058275605</v>
      </c>
      <c r="N84">
        <v>0.3435543055966872</v>
      </c>
      <c r="O84">
        <v>-0.20689655172413809</v>
      </c>
      <c r="P84">
        <v>-24.758620689655391</v>
      </c>
      <c r="U84">
        <v>5.8181573460078715</v>
      </c>
      <c r="V84">
        <v>-4.1162492090134464</v>
      </c>
    </row>
    <row r="85" spans="1:22" x14ac:dyDescent="0.2">
      <c r="A85">
        <v>75</v>
      </c>
      <c r="B85">
        <v>1069.5</v>
      </c>
      <c r="C85">
        <v>0.6</v>
      </c>
      <c r="D85">
        <v>310.23</v>
      </c>
      <c r="E85">
        <v>14.5</v>
      </c>
      <c r="F85">
        <v>1069.4662434282468</v>
      </c>
      <c r="G85">
        <v>5.9217665289123236</v>
      </c>
      <c r="H85">
        <v>5.9217665289123209</v>
      </c>
      <c r="I85" t="str">
        <v>N</v>
      </c>
      <c r="J85">
        <v>4.2305680630979712</v>
      </c>
      <c r="K85" t="str">
        <v>W</v>
      </c>
      <c r="L85">
        <v>7.2777073972131365</v>
      </c>
      <c r="M85">
        <v>324.45761464640304</v>
      </c>
      <c r="N85">
        <v>0.31445221155980996</v>
      </c>
      <c r="O85">
        <v>-0.13793103448275873</v>
      </c>
      <c r="P85">
        <v>-26.551724137930798</v>
      </c>
      <c r="U85">
        <v>5.9217665289123209</v>
      </c>
      <c r="V85">
        <v>-4.2305680630979712</v>
      </c>
    </row>
    <row r="86" spans="1:22" x14ac:dyDescent="0.2">
      <c r="A86">
        <v>76</v>
      </c>
      <c r="B86">
        <v>1084</v>
      </c>
      <c r="C86">
        <v>0.59</v>
      </c>
      <c r="D86">
        <v>306.13</v>
      </c>
      <c r="E86">
        <v>14.5</v>
      </c>
      <c r="F86">
        <v>1083.9654615242446</v>
      </c>
      <c r="G86">
        <v>6.0148184267529201</v>
      </c>
      <c r="H86">
        <v>6.0148184267529201</v>
      </c>
      <c r="I86" t="str">
        <v>N</v>
      </c>
      <c r="J86">
        <v>4.3488276814649467</v>
      </c>
      <c r="K86" t="str">
        <v>W</v>
      </c>
      <c r="L86">
        <v>7.4222869056566561</v>
      </c>
      <c r="M86">
        <v>324.13235787497223</v>
      </c>
      <c r="N86">
        <v>0.30155054233852752</v>
      </c>
      <c r="O86">
        <v>-6.8965517241379365E-2</v>
      </c>
      <c r="P86">
        <v>-28.275862068965672</v>
      </c>
      <c r="U86">
        <v>6.0148184267529201</v>
      </c>
      <c r="V86">
        <v>-4.3488276814649467</v>
      </c>
    </row>
    <row r="87" spans="1:22" x14ac:dyDescent="0.2">
      <c r="A87">
        <v>77</v>
      </c>
      <c r="B87">
        <v>1098.17</v>
      </c>
      <c r="C87">
        <v>0.57999999999999996</v>
      </c>
      <c r="D87">
        <v>304.5</v>
      </c>
      <c r="E87">
        <v>14.170000000000073</v>
      </c>
      <c r="F87">
        <v>1098.1347228817788</v>
      </c>
      <c r="G87">
        <v>6.0984571722387999</v>
      </c>
      <c r="H87">
        <v>6.098457172238799</v>
      </c>
      <c r="I87" t="str">
        <v>N</v>
      </c>
      <c r="J87">
        <v>4.4668589424374865</v>
      </c>
      <c r="K87" t="str">
        <v>W</v>
      </c>
      <c r="L87">
        <v>7.559365627700819</v>
      </c>
      <c r="M87">
        <v>323.77881911900101</v>
      </c>
      <c r="N87">
        <v>0.13701208410173957</v>
      </c>
      <c r="O87">
        <v>-7.0571630204657426E-2</v>
      </c>
      <c r="P87">
        <v>-11.503175723359119</v>
      </c>
      <c r="U87">
        <v>6.098457172238799</v>
      </c>
      <c r="V87">
        <v>-4.4668589424374865</v>
      </c>
    </row>
    <row r="88" spans="1:22" x14ac:dyDescent="0.2">
      <c r="A88">
        <v>78</v>
      </c>
      <c r="B88">
        <v>1112.33</v>
      </c>
      <c r="C88">
        <v>0.57999999999999996</v>
      </c>
      <c r="D88">
        <v>302.85000000000002</v>
      </c>
      <c r="E88">
        <v>14.159999999999854</v>
      </c>
      <c r="F88">
        <v>1112.2939973770099</v>
      </c>
      <c r="G88">
        <v>6.1779271571144339</v>
      </c>
      <c r="H88">
        <v>6.177927157114433</v>
      </c>
      <c r="I88" t="str">
        <v>N</v>
      </c>
      <c r="J88">
        <v>4.5861318678273495</v>
      </c>
      <c r="K88" t="str">
        <v>W</v>
      </c>
      <c r="L88">
        <v>7.6941139494885045</v>
      </c>
      <c r="M88">
        <v>323.41196714759707</v>
      </c>
      <c r="N88">
        <v>0.11795154368145871</v>
      </c>
      <c r="O88">
        <v>0</v>
      </c>
      <c r="P88">
        <v>-11.652542372881316</v>
      </c>
      <c r="U88">
        <v>6.177927157114433</v>
      </c>
      <c r="V88">
        <v>-4.5861318678273495</v>
      </c>
    </row>
    <row r="89" spans="1:22" x14ac:dyDescent="0.2">
      <c r="A89">
        <v>79</v>
      </c>
      <c r="B89">
        <v>1126.5</v>
      </c>
      <c r="C89">
        <v>0.57999999999999996</v>
      </c>
      <c r="D89">
        <v>301.18</v>
      </c>
      <c r="E89">
        <v>14.170000000000073</v>
      </c>
      <c r="F89">
        <v>1126.4632713598792</v>
      </c>
      <c r="G89">
        <v>6.2539621103066692</v>
      </c>
      <c r="H89">
        <v>6.2539621103066692</v>
      </c>
      <c r="I89" t="str">
        <v>N</v>
      </c>
      <c r="J89">
        <v>4.7077423721895544</v>
      </c>
      <c r="K89" t="str">
        <v>W</v>
      </c>
      <c r="L89">
        <v>7.8278273052016401</v>
      </c>
      <c r="M89">
        <v>323.02897147120478</v>
      </c>
      <c r="N89">
        <v>0.11929690957751614</v>
      </c>
      <c r="O89">
        <v>0</v>
      </c>
      <c r="P89">
        <v>-11.785462244177893</v>
      </c>
      <c r="U89">
        <v>6.2539621103066692</v>
      </c>
      <c r="V89">
        <v>-4.7077423721895544</v>
      </c>
    </row>
    <row r="90" spans="1:22" x14ac:dyDescent="0.2">
      <c r="A90">
        <v>80</v>
      </c>
      <c r="B90">
        <v>1140.67</v>
      </c>
      <c r="C90">
        <v>0.57999999999999996</v>
      </c>
      <c r="D90">
        <v>299.51</v>
      </c>
      <c r="E90">
        <v>14.170000000000073</v>
      </c>
      <c r="F90">
        <v>1140.6325453427485</v>
      </c>
      <c r="G90">
        <v>6.3264206888034717</v>
      </c>
      <c r="H90">
        <v>6.3264206888034726</v>
      </c>
      <c r="I90" t="str">
        <v>N</v>
      </c>
      <c r="J90">
        <v>4.8315171001448114</v>
      </c>
      <c r="K90" t="str">
        <v>W</v>
      </c>
      <c r="L90">
        <v>7.9603490011878453</v>
      </c>
      <c r="M90">
        <v>322.63085814518115</v>
      </c>
      <c r="N90">
        <v>0.11929690957751614</v>
      </c>
      <c r="O90">
        <v>0</v>
      </c>
      <c r="P90">
        <v>-11.785462244177893</v>
      </c>
      <c r="U90">
        <v>6.3264206888034726</v>
      </c>
      <c r="V90">
        <v>-4.8315171001448114</v>
      </c>
    </row>
    <row r="91" spans="1:22" x14ac:dyDescent="0.2">
      <c r="A91">
        <v>81</v>
      </c>
      <c r="B91">
        <v>1154.83</v>
      </c>
      <c r="C91">
        <v>0.57999999999999996</v>
      </c>
      <c r="D91">
        <v>297.83</v>
      </c>
      <c r="E91">
        <v>14.159999999999854</v>
      </c>
      <c r="F91">
        <v>1154.7918198379796</v>
      </c>
      <c r="G91">
        <v>6.3951817108010802</v>
      </c>
      <c r="H91">
        <v>6.3951817108010784</v>
      </c>
      <c r="I91" t="str">
        <v>N</v>
      </c>
      <c r="J91">
        <v>4.9572679442553911</v>
      </c>
      <c r="K91" t="str">
        <v>W</v>
      </c>
      <c r="L91">
        <v>8.0915298050063864</v>
      </c>
      <c r="M91">
        <v>322.21870694218421</v>
      </c>
      <c r="N91">
        <v>0.12009596487562327</v>
      </c>
      <c r="O91">
        <v>0</v>
      </c>
      <c r="P91">
        <v>-11.864406779661186</v>
      </c>
      <c r="U91">
        <v>6.3951817108010784</v>
      </c>
      <c r="V91">
        <v>-4.9572679442553911</v>
      </c>
    </row>
    <row r="92" spans="1:22" x14ac:dyDescent="0.2">
      <c r="A92">
        <v>82</v>
      </c>
      <c r="B92">
        <v>1169</v>
      </c>
      <c r="C92">
        <v>0.56999999999999995</v>
      </c>
      <c r="D92">
        <v>296.14999999999998</v>
      </c>
      <c r="E92">
        <v>14.170000000000073</v>
      </c>
      <c r="F92">
        <v>1168.9611062303734</v>
      </c>
      <c r="G92">
        <v>6.4597274776390643</v>
      </c>
      <c r="H92">
        <v>6.459727477639067</v>
      </c>
      <c r="I92" t="str">
        <v>N</v>
      </c>
      <c r="J92">
        <v>5.0839608780009984</v>
      </c>
      <c r="K92" t="str">
        <v>W</v>
      </c>
      <c r="L92">
        <v>8.2203854711570461</v>
      </c>
      <c r="M92">
        <v>321.79640352216256</v>
      </c>
      <c r="N92">
        <v>0.13832834813196865</v>
      </c>
      <c r="O92">
        <v>-7.0571630204657426E-2</v>
      </c>
      <c r="P92">
        <v>-11.856033874382486</v>
      </c>
      <c r="U92">
        <v>6.459727477639067</v>
      </c>
      <c r="V92">
        <v>-5.0839608780009984</v>
      </c>
    </row>
    <row r="93" spans="1:22" x14ac:dyDescent="0.2">
      <c r="A93">
        <v>83</v>
      </c>
      <c r="B93">
        <v>1183.33</v>
      </c>
      <c r="C93">
        <v>0.61</v>
      </c>
      <c r="D93">
        <v>295.37</v>
      </c>
      <c r="E93">
        <v>14.329999999999927</v>
      </c>
      <c r="F93">
        <v>1183.2903456066745</v>
      </c>
      <c r="G93">
        <v>6.5238251520787234</v>
      </c>
      <c r="H93">
        <v>6.5238251520787207</v>
      </c>
      <c r="I93" t="str">
        <v>N</v>
      </c>
      <c r="J93">
        <v>5.2168681990754742</v>
      </c>
      <c r="K93" t="str">
        <v>W</v>
      </c>
      <c r="L93">
        <v>8.3532034825819927</v>
      </c>
      <c r="M93">
        <v>321.35193187473794</v>
      </c>
      <c r="N93">
        <v>0.28469990451750793</v>
      </c>
      <c r="O93">
        <v>0.27913468248430034</v>
      </c>
      <c r="P93">
        <v>-5.4431263084436621</v>
      </c>
      <c r="U93">
        <v>6.5238251520787207</v>
      </c>
      <c r="V93">
        <v>-5.2168681990754742</v>
      </c>
    </row>
    <row r="94" spans="1:22" x14ac:dyDescent="0.2">
      <c r="A94">
        <v>84</v>
      </c>
      <c r="B94">
        <v>1197.67</v>
      </c>
      <c r="C94">
        <v>0.64</v>
      </c>
      <c r="D94">
        <v>294.67</v>
      </c>
      <c r="E94">
        <v>14.340000000000146</v>
      </c>
      <c r="F94">
        <v>1197.6294919569818</v>
      </c>
      <c r="G94">
        <v>6.5899594248567341</v>
      </c>
      <c r="H94">
        <v>6.5899594248567368</v>
      </c>
      <c r="I94" t="str">
        <v>N</v>
      </c>
      <c r="J94">
        <v>5.3586186696013689</v>
      </c>
      <c r="K94" t="str">
        <v>W</v>
      </c>
      <c r="L94">
        <v>8.493665832104444</v>
      </c>
      <c r="M94">
        <v>320.88375104796393</v>
      </c>
      <c r="N94">
        <v>0.21587113827653723</v>
      </c>
      <c r="O94">
        <v>0.20920502092050014</v>
      </c>
      <c r="P94">
        <v>-4.8814504881449201</v>
      </c>
      <c r="U94">
        <v>6.5899594248567368</v>
      </c>
      <c r="V94">
        <v>-5.3586186696013689</v>
      </c>
    </row>
    <row r="95" spans="1:22" x14ac:dyDescent="0.2">
      <c r="A95">
        <v>85</v>
      </c>
      <c r="B95">
        <v>1212</v>
      </c>
      <c r="C95">
        <v>0.68</v>
      </c>
      <c r="D95">
        <v>294.04000000000002</v>
      </c>
      <c r="E95">
        <v>14.329999999999927</v>
      </c>
      <c r="F95">
        <v>1211.9585403610101</v>
      </c>
      <c r="G95">
        <v>6.6580047930023776</v>
      </c>
      <c r="H95">
        <v>6.6580047930023776</v>
      </c>
      <c r="I95" t="str">
        <v>N</v>
      </c>
      <c r="J95">
        <v>5.5090042372530741</v>
      </c>
      <c r="K95" t="str">
        <v>W</v>
      </c>
      <c r="L95">
        <v>8.6416523599202346</v>
      </c>
      <c r="M95">
        <v>320.39477050294823</v>
      </c>
      <c r="N95">
        <v>0.28368705620748397</v>
      </c>
      <c r="O95">
        <v>0.27913468248430034</v>
      </c>
      <c r="P95">
        <v>-4.3963712491276947</v>
      </c>
      <c r="U95">
        <v>6.6580047930023776</v>
      </c>
      <c r="V95">
        <v>-5.5090042372530741</v>
      </c>
    </row>
    <row r="96" spans="1:22" x14ac:dyDescent="0.2">
      <c r="A96">
        <v>86</v>
      </c>
      <c r="B96">
        <v>1226.33</v>
      </c>
      <c r="C96">
        <v>0.71</v>
      </c>
      <c r="D96">
        <v>293.48</v>
      </c>
      <c r="E96">
        <v>14.329999999999927</v>
      </c>
      <c r="F96">
        <v>1226.2874856403453</v>
      </c>
      <c r="G96">
        <v>6.7280200446615535</v>
      </c>
      <c r="H96">
        <v>6.728020044661557</v>
      </c>
      <c r="I96" t="str">
        <v>N</v>
      </c>
      <c r="J96">
        <v>5.668096194169653</v>
      </c>
      <c r="K96" t="str">
        <v>W</v>
      </c>
      <c r="L96">
        <v>8.7973614332780592</v>
      </c>
      <c r="M96">
        <v>319.88716066429936</v>
      </c>
      <c r="N96">
        <v>0.21464784431328965</v>
      </c>
      <c r="O96">
        <v>0.2093510118632245</v>
      </c>
      <c r="P96">
        <v>-3.9078855547802172</v>
      </c>
      <c r="U96">
        <v>6.728020044661557</v>
      </c>
      <c r="V96">
        <v>-5.668096194169653</v>
      </c>
    </row>
    <row r="97" spans="1:22" x14ac:dyDescent="0.2">
      <c r="A97">
        <v>87</v>
      </c>
      <c r="B97">
        <v>1240.67</v>
      </c>
      <c r="C97">
        <v>0.75</v>
      </c>
      <c r="D97">
        <v>292.95999999999998</v>
      </c>
      <c r="E97">
        <v>14.340000000000146</v>
      </c>
      <c r="F97">
        <v>1240.6263208719513</v>
      </c>
      <c r="G97">
        <v>6.8000300730648986</v>
      </c>
      <c r="H97">
        <v>6.8000300730648995</v>
      </c>
      <c r="I97" t="str">
        <v>N</v>
      </c>
      <c r="J97">
        <v>5.8360039479018857</v>
      </c>
      <c r="K97" t="str">
        <v>W</v>
      </c>
      <c r="L97">
        <v>8.960990518604147</v>
      </c>
      <c r="M97">
        <v>319.36274843681667</v>
      </c>
      <c r="N97">
        <v>0.28273727965730239</v>
      </c>
      <c r="O97">
        <v>0.27894002789400019</v>
      </c>
      <c r="P97">
        <v>-3.6262203626222687</v>
      </c>
      <c r="U97">
        <v>6.8000300730648995</v>
      </c>
      <c r="V97">
        <v>-5.8360039479018857</v>
      </c>
    </row>
    <row r="98" spans="1:22" x14ac:dyDescent="0.2">
      <c r="A98">
        <v>88</v>
      </c>
      <c r="B98">
        <v>1255</v>
      </c>
      <c r="C98">
        <v>0.78</v>
      </c>
      <c r="D98">
        <v>292.49</v>
      </c>
      <c r="E98">
        <v>14.329999999999927</v>
      </c>
      <c r="F98">
        <v>1254.955043097277</v>
      </c>
      <c r="G98">
        <v>6.8739258011727395</v>
      </c>
      <c r="H98">
        <v>6.8739258011727404</v>
      </c>
      <c r="I98" t="str">
        <v>N</v>
      </c>
      <c r="J98">
        <v>6.0124809177214091</v>
      </c>
      <c r="K98" t="str">
        <v>W</v>
      </c>
      <c r="L98">
        <v>9.1324028987990005</v>
      </c>
      <c r="M98">
        <v>318.82448196764528</v>
      </c>
      <c r="N98">
        <v>0.21388007263747719</v>
      </c>
      <c r="O98">
        <v>0.20935101186322527</v>
      </c>
      <c r="P98">
        <v>-3.2798325191903199</v>
      </c>
      <c r="U98">
        <v>6.8739258011727404</v>
      </c>
      <c r="V98">
        <v>-6.0124809177214091</v>
      </c>
    </row>
    <row r="99" spans="1:22" x14ac:dyDescent="0.2">
      <c r="A99">
        <v>89</v>
      </c>
      <c r="B99">
        <v>1269.17</v>
      </c>
      <c r="C99">
        <v>0.78</v>
      </c>
      <c r="D99">
        <v>290.99</v>
      </c>
      <c r="E99">
        <v>14.170000000000073</v>
      </c>
      <c r="F99">
        <v>1269.1237300599032</v>
      </c>
      <c r="G99">
        <v>6.9453683092504175</v>
      </c>
      <c r="H99">
        <v>6.945368309250421</v>
      </c>
      <c r="I99" t="str">
        <v>N</v>
      </c>
      <c r="J99">
        <v>6.1916438260422106</v>
      </c>
      <c r="K99" t="str">
        <v>W</v>
      </c>
      <c r="L99">
        <v>9.3045469647751613</v>
      </c>
      <c r="M99">
        <v>318.2836948894381</v>
      </c>
      <c r="N99">
        <v>0.14410118891732021</v>
      </c>
      <c r="O99">
        <v>0</v>
      </c>
      <c r="P99">
        <v>-10.585744530698605</v>
      </c>
      <c r="U99">
        <v>6.945368309250421</v>
      </c>
      <c r="V99">
        <v>-6.1916438260422106</v>
      </c>
    </row>
    <row r="100" spans="1:22" x14ac:dyDescent="0.2">
      <c r="A100">
        <v>90</v>
      </c>
      <c r="B100">
        <v>1283.33</v>
      </c>
      <c r="C100">
        <v>0.78</v>
      </c>
      <c r="D100">
        <v>289.49</v>
      </c>
      <c r="E100">
        <v>14.159999999999854</v>
      </c>
      <c r="F100">
        <v>1283.2824179491611</v>
      </c>
      <c r="G100">
        <v>7.0120493064753573</v>
      </c>
      <c r="H100">
        <v>7.0120493064753617</v>
      </c>
      <c r="I100" t="str">
        <v>N</v>
      </c>
      <c r="J100">
        <v>6.3724877718989266</v>
      </c>
      <c r="K100" t="str">
        <v>W</v>
      </c>
      <c r="L100">
        <v>9.4750955604385823</v>
      </c>
      <c r="M100">
        <v>317.73571846679698</v>
      </c>
      <c r="N100">
        <v>0.14420295529367647</v>
      </c>
      <c r="O100">
        <v>0</v>
      </c>
      <c r="P100">
        <v>-10.593220338983159</v>
      </c>
      <c r="U100">
        <v>7.0120493064753617</v>
      </c>
      <c r="V100">
        <v>-6.3724877718989266</v>
      </c>
    </row>
    <row r="101" spans="1:22" x14ac:dyDescent="0.2">
      <c r="A101">
        <v>91</v>
      </c>
      <c r="B101">
        <v>1297.5</v>
      </c>
      <c r="C101">
        <v>0.79</v>
      </c>
      <c r="D101">
        <v>288.01</v>
      </c>
      <c r="E101">
        <v>14.170000000000073</v>
      </c>
      <c r="F101">
        <v>1297.4510879703344</v>
      </c>
      <c r="G101">
        <v>7.074431551475989</v>
      </c>
      <c r="H101">
        <v>7.0744315514759952</v>
      </c>
      <c r="I101" t="str">
        <v>N</v>
      </c>
      <c r="J101">
        <v>6.5563096188046774</v>
      </c>
      <c r="K101" t="str">
        <v>W</v>
      </c>
      <c r="L101">
        <v>9.645350050368819</v>
      </c>
      <c r="M101">
        <v>317.17683797114921</v>
      </c>
      <c r="N101">
        <v>0.15954511781396613</v>
      </c>
      <c r="O101">
        <v>7.0571630204657426E-2</v>
      </c>
      <c r="P101">
        <v>-10.444601270289418</v>
      </c>
      <c r="U101">
        <v>7.0744315514759952</v>
      </c>
      <c r="V101">
        <v>-6.5563096188046774</v>
      </c>
    </row>
    <row r="102" spans="1:22" x14ac:dyDescent="0.2">
      <c r="A102">
        <v>92</v>
      </c>
      <c r="B102">
        <v>1311.67</v>
      </c>
      <c r="C102">
        <v>0.79</v>
      </c>
      <c r="D102">
        <v>286.54000000000002</v>
      </c>
      <c r="E102">
        <v>14.170000000000073</v>
      </c>
      <c r="F102">
        <v>1311.6197410500545</v>
      </c>
      <c r="G102">
        <v>7.1324438686091316</v>
      </c>
      <c r="H102">
        <v>7.1324438686091316</v>
      </c>
      <c r="I102" t="str">
        <v>N</v>
      </c>
      <c r="J102">
        <v>6.7428523662735387</v>
      </c>
      <c r="K102" t="str">
        <v>W</v>
      </c>
      <c r="L102">
        <v>9.815182808904817</v>
      </c>
      <c r="M102">
        <v>316.60833218765146</v>
      </c>
      <c r="N102">
        <v>0.14302971504677922</v>
      </c>
      <c r="O102">
        <v>0</v>
      </c>
      <c r="P102">
        <v>-10.374029640084425</v>
      </c>
      <c r="U102">
        <v>7.1324438686091316</v>
      </c>
      <c r="V102">
        <v>-6.7428523662735387</v>
      </c>
    </row>
    <row r="103" spans="1:22" x14ac:dyDescent="0.2">
      <c r="A103">
        <v>93</v>
      </c>
      <c r="B103">
        <v>1325.83</v>
      </c>
      <c r="C103">
        <v>0.8</v>
      </c>
      <c r="D103">
        <v>285.08</v>
      </c>
      <c r="E103">
        <v>14.159999999999854</v>
      </c>
      <c r="F103">
        <v>1325.7783779351719</v>
      </c>
      <c r="G103">
        <v>7.1859519720847294</v>
      </c>
      <c r="H103">
        <v>7.1859519720847276</v>
      </c>
      <c r="I103" t="str">
        <v>N</v>
      </c>
      <c r="J103">
        <v>6.9318778828869316</v>
      </c>
      <c r="K103" t="str">
        <v>W</v>
      </c>
      <c r="L103">
        <v>9.9844297147290995</v>
      </c>
      <c r="M103">
        <v>316.03102260282742</v>
      </c>
      <c r="N103">
        <v>0.15953627134998519</v>
      </c>
      <c r="O103">
        <v>7.0621468926554465E-2</v>
      </c>
      <c r="P103">
        <v>-10.310734463277198</v>
      </c>
      <c r="U103">
        <v>7.1859519720847276</v>
      </c>
      <c r="V103">
        <v>-6.9318778828869316</v>
      </c>
    </row>
    <row r="104" spans="1:22" x14ac:dyDescent="0.2">
      <c r="A104">
        <v>94</v>
      </c>
      <c r="B104">
        <v>1340</v>
      </c>
      <c r="C104">
        <v>0.8</v>
      </c>
      <c r="D104">
        <v>283.64</v>
      </c>
      <c r="E104">
        <v>14.170000000000073</v>
      </c>
      <c r="F104">
        <v>1339.9469967003838</v>
      </c>
      <c r="G104">
        <v>7.2350161297603206</v>
      </c>
      <c r="H104">
        <v>7.2350161297603188</v>
      </c>
      <c r="I104" t="str">
        <v>N</v>
      </c>
      <c r="J104">
        <v>7.1235255119924572</v>
      </c>
      <c r="K104" t="str">
        <v>W</v>
      </c>
      <c r="L104">
        <v>10.153328228610526</v>
      </c>
      <c r="M104">
        <v>315.44487898826537</v>
      </c>
      <c r="N104">
        <v>0.1418843376100479</v>
      </c>
      <c r="O104">
        <v>0</v>
      </c>
      <c r="P104">
        <v>-10.162314749470644</v>
      </c>
      <c r="U104">
        <v>7.2350161297603188</v>
      </c>
      <c r="V104">
        <v>-7.1235255119924572</v>
      </c>
    </row>
    <row r="105" spans="1:22" x14ac:dyDescent="0.2">
      <c r="A105">
        <v>95</v>
      </c>
      <c r="B105">
        <v>1354</v>
      </c>
      <c r="C105">
        <v>0.74</v>
      </c>
      <c r="D105">
        <v>282.51</v>
      </c>
      <c r="E105">
        <v>14</v>
      </c>
      <c r="F105">
        <v>1353.9457305468177</v>
      </c>
      <c r="G105">
        <v>7.2776468641911363</v>
      </c>
      <c r="H105">
        <v>7.277646864191138</v>
      </c>
      <c r="I105" t="str">
        <v>N</v>
      </c>
      <c r="J105">
        <v>7.3067634610098935</v>
      </c>
      <c r="K105" t="str">
        <v>W</v>
      </c>
      <c r="L105">
        <v>10.312755992217618</v>
      </c>
      <c r="M105">
        <v>314.88561375757268</v>
      </c>
      <c r="N105">
        <v>0.44206418401503189</v>
      </c>
      <c r="O105">
        <v>-0.42857142857142899</v>
      </c>
      <c r="P105">
        <v>-8.0714285714285392</v>
      </c>
      <c r="U105">
        <v>7.277646864191138</v>
      </c>
      <c r="V105">
        <v>-7.3067634610098935</v>
      </c>
    </row>
    <row r="106" spans="1:22" x14ac:dyDescent="0.2">
      <c r="A106">
        <v>96</v>
      </c>
      <c r="B106">
        <v>1368</v>
      </c>
      <c r="C106">
        <v>0.68</v>
      </c>
      <c r="D106">
        <v>281.2</v>
      </c>
      <c r="E106">
        <v>14</v>
      </c>
      <c r="F106">
        <v>1367.9446537381409</v>
      </c>
      <c r="G106">
        <v>7.3133657681652462</v>
      </c>
      <c r="H106">
        <v>7.3133657681652533</v>
      </c>
      <c r="I106" t="str">
        <v>N</v>
      </c>
      <c r="J106">
        <v>7.4765161718717854</v>
      </c>
      <c r="K106" t="str">
        <v>W</v>
      </c>
      <c r="L106">
        <v>10.458662100251241</v>
      </c>
      <c r="M106">
        <v>314.36798343274961</v>
      </c>
      <c r="N106">
        <v>0.44395169419031938</v>
      </c>
      <c r="O106">
        <v>-0.42857142857142816</v>
      </c>
      <c r="P106">
        <v>-9.3571428571428736</v>
      </c>
      <c r="U106">
        <v>7.3133657681652533</v>
      </c>
      <c r="V106">
        <v>-7.4765161718717854</v>
      </c>
    </row>
    <row r="107" spans="1:22" x14ac:dyDescent="0.2">
      <c r="A107">
        <v>97</v>
      </c>
      <c r="B107">
        <v>1382</v>
      </c>
      <c r="C107">
        <v>0.62</v>
      </c>
      <c r="D107">
        <v>279.63</v>
      </c>
      <c r="E107">
        <v>14</v>
      </c>
      <c r="F107">
        <v>1381.943750922818</v>
      </c>
      <c r="G107">
        <v>7.3421730644404537</v>
      </c>
      <c r="H107">
        <v>7.342173064440451</v>
      </c>
      <c r="I107" t="str">
        <v>N</v>
      </c>
      <c r="J107">
        <v>7.6326881751265674</v>
      </c>
      <c r="K107" t="str">
        <v>W</v>
      </c>
      <c r="L107">
        <v>10.590818386079134</v>
      </c>
      <c r="M107">
        <v>313.88859057290057</v>
      </c>
      <c r="N107">
        <v>0.44701536451819324</v>
      </c>
      <c r="O107">
        <v>-0.42857142857142899</v>
      </c>
      <c r="P107">
        <v>-11.214285714285666</v>
      </c>
      <c r="U107">
        <v>7.342173064440451</v>
      </c>
      <c r="V107">
        <v>-7.6326881751265674</v>
      </c>
    </row>
    <row r="108" spans="1:22" x14ac:dyDescent="0.2">
      <c r="A108">
        <v>98</v>
      </c>
      <c r="B108">
        <v>1396</v>
      </c>
      <c r="C108">
        <v>0.56000000000000005</v>
      </c>
      <c r="D108">
        <v>277.74</v>
      </c>
      <c r="E108">
        <v>14</v>
      </c>
      <c r="F108">
        <v>1395.9430067491221</v>
      </c>
      <c r="G108">
        <v>7.3640583064699348</v>
      </c>
      <c r="H108">
        <v>7.3640583064699419</v>
      </c>
      <c r="I108" t="str">
        <v>N</v>
      </c>
      <c r="J108">
        <v>7.7751591300085243</v>
      </c>
      <c r="K108" t="str">
        <v>W</v>
      </c>
      <c r="L108">
        <v>10.708989412547005</v>
      </c>
      <c r="M108">
        <v>313.44453286162923</v>
      </c>
      <c r="N108">
        <v>0.45049570444479281</v>
      </c>
      <c r="O108">
        <v>-0.42857142857142816</v>
      </c>
      <c r="P108">
        <v>-13.499999999999904</v>
      </c>
      <c r="U108">
        <v>7.3640583064699419</v>
      </c>
      <c r="V108">
        <v>-7.7751591300085243</v>
      </c>
    </row>
    <row r="109" spans="1:22" x14ac:dyDescent="0.2">
      <c r="A109">
        <v>99</v>
      </c>
      <c r="B109">
        <v>1410</v>
      </c>
      <c r="C109">
        <v>0.51</v>
      </c>
      <c r="D109">
        <v>275.41000000000003</v>
      </c>
      <c r="E109">
        <v>14</v>
      </c>
      <c r="F109">
        <v>1409.9423950970665</v>
      </c>
      <c r="G109">
        <v>7.3791468848395798</v>
      </c>
      <c r="H109">
        <v>7.3791468848395834</v>
      </c>
      <c r="I109" t="str">
        <v>N</v>
      </c>
      <c r="J109">
        <v>7.9049815240818564</v>
      </c>
      <c r="K109" t="str">
        <v>W</v>
      </c>
      <c r="L109">
        <v>10.813905013643925</v>
      </c>
      <c r="M109">
        <v>313.02957510516842</v>
      </c>
      <c r="N109">
        <v>0.38941535573475061</v>
      </c>
      <c r="O109">
        <v>-0.35714285714285748</v>
      </c>
      <c r="P109">
        <v>-16.642857142857029</v>
      </c>
      <c r="U109">
        <v>7.3791468848395834</v>
      </c>
      <c r="V109">
        <v>-7.9049815240818564</v>
      </c>
    </row>
    <row r="110" spans="1:22" x14ac:dyDescent="0.2">
      <c r="A110">
        <v>100</v>
      </c>
      <c r="B110">
        <v>1424</v>
      </c>
      <c r="C110">
        <v>0.45</v>
      </c>
      <c r="D110">
        <v>272.49</v>
      </c>
      <c r="E110">
        <v>14</v>
      </c>
      <c r="F110">
        <v>1423.9419018939429</v>
      </c>
      <c r="G110">
        <v>7.3874098486351496</v>
      </c>
      <c r="H110">
        <v>7.3874098486351487</v>
      </c>
      <c r="I110" t="str">
        <v>N</v>
      </c>
      <c r="J110">
        <v>8.021936806373871</v>
      </c>
      <c r="K110" t="str">
        <v>W</v>
      </c>
      <c r="L110">
        <v>10.90528745137731</v>
      </c>
      <c r="M110">
        <v>312.64200327787739</v>
      </c>
      <c r="N110">
        <v>0.4626859893385441</v>
      </c>
      <c r="O110">
        <v>-0.4285714285714286</v>
      </c>
      <c r="P110">
        <v>-20.857142857142971</v>
      </c>
      <c r="U110">
        <v>7.3874098486351487</v>
      </c>
      <c r="V110">
        <v>-8.021936806373871</v>
      </c>
    </row>
    <row r="111" spans="1:22" x14ac:dyDescent="0.2">
      <c r="A111">
        <v>101</v>
      </c>
      <c r="B111">
        <v>1438.67</v>
      </c>
      <c r="C111">
        <v>0.39</v>
      </c>
      <c r="D111">
        <v>137.15</v>
      </c>
      <c r="E111">
        <v>14.670000000000073</v>
      </c>
      <c r="F111">
        <v>1438.6117307640338</v>
      </c>
      <c r="G111">
        <v>7.3533085325235019</v>
      </c>
      <c r="H111">
        <v>7.3533085325235081</v>
      </c>
      <c r="I111" t="str">
        <v>N</v>
      </c>
      <c r="J111">
        <v>8.0455364618413228</v>
      </c>
      <c r="K111" t="str">
        <v>W</v>
      </c>
      <c r="L111">
        <v>10.899623999629585</v>
      </c>
      <c r="M111">
        <v>312.42610208039696</v>
      </c>
      <c r="N111">
        <v>5.2988582571732676</v>
      </c>
      <c r="O111">
        <v>-0.4089979550102229</v>
      </c>
      <c r="P111">
        <v>-922.56305385139285</v>
      </c>
      <c r="U111">
        <v>7.3533085325235081</v>
      </c>
      <c r="V111">
        <v>-8.0455364618413228</v>
      </c>
    </row>
    <row r="112" spans="1:22" x14ac:dyDescent="0.2">
      <c r="A112">
        <v>102</v>
      </c>
      <c r="B112">
        <v>1453.33</v>
      </c>
      <c r="C112">
        <v>0.83</v>
      </c>
      <c r="D112">
        <v>121.92</v>
      </c>
      <c r="E112">
        <v>14.659999999999854</v>
      </c>
      <c r="F112">
        <v>1453.2708723695905</v>
      </c>
      <c r="G112">
        <v>7.2605881430574835</v>
      </c>
      <c r="H112">
        <v>7.2605881430574852</v>
      </c>
      <c r="I112" t="str">
        <v>N</v>
      </c>
      <c r="J112">
        <v>7.9214797107536512</v>
      </c>
      <c r="K112" t="str">
        <v>W</v>
      </c>
      <c r="L112">
        <v>10.745509806006819</v>
      </c>
      <c r="M112">
        <v>312.50742739557103</v>
      </c>
      <c r="N112">
        <v>3.1727143925375909</v>
      </c>
      <c r="O112">
        <v>3.0013642564802478</v>
      </c>
      <c r="P112">
        <v>-103.88813096862316</v>
      </c>
      <c r="U112">
        <v>7.2605881430574852</v>
      </c>
      <c r="V112">
        <v>-7.9214797107536512</v>
      </c>
    </row>
    <row r="113" spans="1:22" x14ac:dyDescent="0.2">
      <c r="A113">
        <v>103</v>
      </c>
      <c r="B113">
        <v>1468</v>
      </c>
      <c r="C113">
        <v>0.72</v>
      </c>
      <c r="D113">
        <v>124.32</v>
      </c>
      <c r="E113">
        <v>14.670000000000073</v>
      </c>
      <c r="F113">
        <v>1467.9395236139601</v>
      </c>
      <c r="G113">
        <v>7.152440761599661</v>
      </c>
      <c r="H113">
        <v>7.1524407615996637</v>
      </c>
      <c r="I113" t="str">
        <v>N</v>
      </c>
      <c r="J113">
        <v>7.7551687797132312</v>
      </c>
      <c r="K113" t="str">
        <v>W</v>
      </c>
      <c r="L113">
        <v>10.549883963818331</v>
      </c>
      <c r="M113">
        <v>312.68474127197101</v>
      </c>
      <c r="N113">
        <v>0.7816371309190786</v>
      </c>
      <c r="O113">
        <v>-0.74982958418540857</v>
      </c>
      <c r="P113">
        <v>16.359918200408856</v>
      </c>
      <c r="U113">
        <v>7.1524407615996637</v>
      </c>
      <c r="V113">
        <v>-7.7551687797132312</v>
      </c>
    </row>
    <row r="114" spans="1:22" x14ac:dyDescent="0.2">
      <c r="A114">
        <v>104</v>
      </c>
      <c r="B114">
        <v>1482.67</v>
      </c>
      <c r="C114">
        <v>0.59</v>
      </c>
      <c r="D114">
        <v>127.83</v>
      </c>
      <c r="E114">
        <v>14.670000000000073</v>
      </c>
      <c r="F114">
        <v>1482.6085555847465</v>
      </c>
      <c r="G114">
        <v>7.0541485564325486</v>
      </c>
      <c r="H114">
        <v>7.0541485564325459</v>
      </c>
      <c r="I114" t="str">
        <v>N</v>
      </c>
      <c r="J114">
        <v>7.6193873816862752</v>
      </c>
      <c r="K114" t="str">
        <v>W</v>
      </c>
      <c r="L114">
        <v>10.3834520236971</v>
      </c>
      <c r="M114">
        <v>312.79400174787276</v>
      </c>
      <c r="N114">
        <v>0.92700368640696162</v>
      </c>
      <c r="O114">
        <v>-0.88616223585548293</v>
      </c>
      <c r="P114">
        <v>23.926380368098073</v>
      </c>
      <c r="U114">
        <v>7.0541485564325459</v>
      </c>
      <c r="V114">
        <v>-7.6193873816862752</v>
      </c>
    </row>
    <row r="115" spans="1:22" x14ac:dyDescent="0.2">
      <c r="A115">
        <v>105</v>
      </c>
      <c r="B115">
        <v>1497.33</v>
      </c>
      <c r="C115">
        <v>0.46</v>
      </c>
      <c r="D115">
        <v>132.79</v>
      </c>
      <c r="E115">
        <v>14.659999999999854</v>
      </c>
      <c r="F115">
        <v>1497.2679307275837</v>
      </c>
      <c r="G115">
        <v>6.9678792897205435</v>
      </c>
      <c r="H115">
        <v>6.9678792897205488</v>
      </c>
      <c r="I115" t="str">
        <v>N</v>
      </c>
      <c r="J115">
        <v>7.5165857738240556</v>
      </c>
      <c r="K115" t="str">
        <v>W</v>
      </c>
      <c r="L115">
        <v>10.249409909422626</v>
      </c>
      <c r="M115">
        <v>312.83053501763686</v>
      </c>
      <c r="N115">
        <v>0.93857887341096558</v>
      </c>
      <c r="O115">
        <v>-0.88676671214189118</v>
      </c>
      <c r="P115">
        <v>33.833560709413661</v>
      </c>
      <c r="U115">
        <v>6.9678792897205488</v>
      </c>
      <c r="V115">
        <v>-7.5165857738240556</v>
      </c>
    </row>
    <row r="116" spans="1:22" x14ac:dyDescent="0.2">
      <c r="A116">
        <v>106</v>
      </c>
      <c r="B116">
        <v>1512</v>
      </c>
      <c r="C116">
        <v>0.5</v>
      </c>
      <c r="D116">
        <v>134.83000000000001</v>
      </c>
      <c r="E116">
        <v>14.670000000000073</v>
      </c>
      <c r="F116">
        <v>1511.937415038313</v>
      </c>
      <c r="G116">
        <v>6.88274873417883</v>
      </c>
      <c r="H116">
        <v>6.8827487341788292</v>
      </c>
      <c r="I116" t="str">
        <v>N</v>
      </c>
      <c r="J116">
        <v>7.4279751351822956</v>
      </c>
      <c r="K116" t="str">
        <v>W</v>
      </c>
      <c r="L116">
        <v>10.126551473563284</v>
      </c>
      <c r="M116">
        <v>312.81813484283941</v>
      </c>
      <c r="N116">
        <v>0.29646728965960423</v>
      </c>
      <c r="O116">
        <v>0.27266530334014843</v>
      </c>
      <c r="P116">
        <v>13.905930470347718</v>
      </c>
      <c r="U116">
        <v>6.8827487341788292</v>
      </c>
      <c r="V116">
        <v>-7.4279751351822956</v>
      </c>
    </row>
    <row r="117" spans="1:22" x14ac:dyDescent="0.2">
      <c r="A117">
        <v>107</v>
      </c>
      <c r="B117">
        <v>1526.17</v>
      </c>
      <c r="C117">
        <v>1.58</v>
      </c>
      <c r="D117">
        <v>128.35</v>
      </c>
      <c r="E117">
        <v>14.170000000000073</v>
      </c>
      <c r="F117">
        <v>1526.1048746648275</v>
      </c>
      <c r="G117">
        <v>6.7179458680580737</v>
      </c>
      <c r="H117">
        <v>6.7179458680580755</v>
      </c>
      <c r="I117" t="str">
        <v>N</v>
      </c>
      <c r="J117">
        <v>7.2309186673672654</v>
      </c>
      <c r="K117" t="str">
        <v>W</v>
      </c>
      <c r="L117">
        <v>9.8700041266576459</v>
      </c>
      <c r="M117">
        <v>312.89388323668152</v>
      </c>
      <c r="N117">
        <v>7.6546419824346668</v>
      </c>
      <c r="O117">
        <v>7.6217360621029959</v>
      </c>
      <c r="P117">
        <v>-45.730416372618102</v>
      </c>
      <c r="U117">
        <v>6.7179458680580755</v>
      </c>
      <c r="V117">
        <v>-7.2309186673672654</v>
      </c>
    </row>
    <row r="118" spans="1:22" x14ac:dyDescent="0.2">
      <c r="A118">
        <v>108</v>
      </c>
      <c r="B118">
        <v>1540.33</v>
      </c>
      <c r="C118">
        <v>1.77</v>
      </c>
      <c r="D118">
        <v>127.03</v>
      </c>
      <c r="E118">
        <v>14.159999999999854</v>
      </c>
      <c r="F118">
        <v>1540.2588047728225</v>
      </c>
      <c r="G118">
        <v>6.4651241241647517</v>
      </c>
      <c r="H118">
        <v>6.4651241241647526</v>
      </c>
      <c r="I118" t="str">
        <v>N</v>
      </c>
      <c r="J118">
        <v>6.9032453812340027</v>
      </c>
      <c r="K118" t="str">
        <v>W</v>
      </c>
      <c r="L118">
        <v>9.4579398779219161</v>
      </c>
      <c r="M118">
        <v>313.12291862079309</v>
      </c>
      <c r="N118">
        <v>1.3691069913562002</v>
      </c>
      <c r="O118">
        <v>1.3418079096045332</v>
      </c>
      <c r="P118">
        <v>-9.3220338983051327</v>
      </c>
      <c r="U118">
        <v>6.4651241241647526</v>
      </c>
      <c r="V118">
        <v>-6.9032453812340027</v>
      </c>
    </row>
    <row r="119" spans="1:22" x14ac:dyDescent="0.2">
      <c r="A119">
        <v>109</v>
      </c>
      <c r="B119">
        <v>1554.5</v>
      </c>
      <c r="C119">
        <v>1.62</v>
      </c>
      <c r="D119">
        <v>125.1</v>
      </c>
      <c r="E119">
        <v>14.170000000000073</v>
      </c>
      <c r="F119">
        <v>1554.4225924864022</v>
      </c>
      <c r="G119">
        <v>6.2181612316596624</v>
      </c>
      <c r="H119">
        <v>6.2181612316596642</v>
      </c>
      <c r="I119" t="str">
        <v>N</v>
      </c>
      <c r="J119">
        <v>6.5646701937584062</v>
      </c>
      <c r="K119" t="str">
        <v>W</v>
      </c>
      <c r="L119">
        <v>9.0421470821777312</v>
      </c>
      <c r="M119">
        <v>313.44724226376252</v>
      </c>
      <c r="N119">
        <v>1.132499797862023</v>
      </c>
      <c r="O119">
        <v>-1.05857445306986</v>
      </c>
      <c r="P119">
        <v>-13.620324629498921</v>
      </c>
      <c r="U119">
        <v>6.2181612316596642</v>
      </c>
      <c r="V119">
        <v>-6.5646701937584062</v>
      </c>
    </row>
    <row r="120" spans="1:22" x14ac:dyDescent="0.2">
      <c r="A120">
        <v>110</v>
      </c>
      <c r="B120">
        <v>1568.67</v>
      </c>
      <c r="C120">
        <v>1.48</v>
      </c>
      <c r="D120">
        <v>122.55</v>
      </c>
      <c r="E120">
        <v>14.170000000000073</v>
      </c>
      <c r="F120">
        <v>1568.5873971210967</v>
      </c>
      <c r="G120">
        <v>6.0045335820201036</v>
      </c>
      <c r="H120">
        <v>6.0045335820201027</v>
      </c>
      <c r="I120" t="str">
        <v>N</v>
      </c>
      <c r="J120">
        <v>6.2465497807122388</v>
      </c>
      <c r="K120" t="str">
        <v>W</v>
      </c>
      <c r="L120">
        <v>8.6645142795498504</v>
      </c>
      <c r="M120">
        <v>313.86828756431117</v>
      </c>
      <c r="N120">
        <v>1.1011699771893007</v>
      </c>
      <c r="O120">
        <v>-0.98800282286520402</v>
      </c>
      <c r="P120">
        <v>-17.995765702187608</v>
      </c>
      <c r="U120">
        <v>6.0045335820201027</v>
      </c>
      <c r="V120">
        <v>-6.2465497807122388</v>
      </c>
    </row>
    <row r="121" spans="1:22" x14ac:dyDescent="0.2">
      <c r="A121">
        <v>111</v>
      </c>
      <c r="B121">
        <v>1582.83</v>
      </c>
      <c r="C121">
        <v>1.35</v>
      </c>
      <c r="D121">
        <v>119.52</v>
      </c>
      <c r="E121">
        <v>14.159999999999854</v>
      </c>
      <c r="F121">
        <v>1582.7430700500245</v>
      </c>
      <c r="G121">
        <v>5.8239587561618942</v>
      </c>
      <c r="H121">
        <v>5.8239587561618942</v>
      </c>
      <c r="I121" t="str">
        <v>N</v>
      </c>
      <c r="J121">
        <v>5.947261750102494</v>
      </c>
      <c r="K121" t="str">
        <v>W</v>
      </c>
      <c r="L121">
        <v>8.3239664774497353</v>
      </c>
      <c r="M121">
        <v>314.39985129194878</v>
      </c>
      <c r="N121">
        <v>1.0589758431875971</v>
      </c>
      <c r="O121">
        <v>-0.91807909604520643</v>
      </c>
      <c r="P121">
        <v>-21.398305084745989</v>
      </c>
      <c r="U121">
        <v>5.8239587561618942</v>
      </c>
      <c r="V121">
        <v>-5.947261750102494</v>
      </c>
    </row>
    <row r="122" spans="1:22" x14ac:dyDescent="0.2">
      <c r="A122">
        <v>112</v>
      </c>
      <c r="B122">
        <v>1597</v>
      </c>
      <c r="C122">
        <v>1.23</v>
      </c>
      <c r="D122">
        <v>116.29</v>
      </c>
      <c r="E122">
        <v>14.170000000000073</v>
      </c>
      <c r="F122">
        <v>1596.9094709495193</v>
      </c>
      <c r="G122">
        <v>5.6743511611337931</v>
      </c>
      <c r="H122">
        <v>5.6743511611337922</v>
      </c>
      <c r="I122" t="str">
        <v>N</v>
      </c>
      <c r="J122">
        <v>5.6656551534939084</v>
      </c>
      <c r="K122" t="str">
        <v>W</v>
      </c>
      <c r="L122">
        <v>8.0185977214331245</v>
      </c>
      <c r="M122">
        <v>315.04393687489153</v>
      </c>
      <c r="N122">
        <v>0.98988766535894968</v>
      </c>
      <c r="O122">
        <v>-0.84685956245588911</v>
      </c>
      <c r="P122">
        <v>-22.794636556104258</v>
      </c>
      <c r="U122">
        <v>5.6743511611337922</v>
      </c>
      <c r="V122">
        <v>-5.6656551534939084</v>
      </c>
    </row>
    <row r="123" spans="1:22" x14ac:dyDescent="0.2">
      <c r="A123">
        <v>113</v>
      </c>
      <c r="B123">
        <v>1611.67</v>
      </c>
      <c r="C123">
        <v>1.1299999999999999</v>
      </c>
      <c r="D123">
        <v>114.66</v>
      </c>
      <c r="E123">
        <v>14.670000000000073</v>
      </c>
      <c r="F123">
        <v>1611.5763543396652</v>
      </c>
      <c r="G123">
        <v>5.5442591736979985</v>
      </c>
      <c r="H123">
        <v>5.5442591736979985</v>
      </c>
      <c r="I123" t="str">
        <v>N</v>
      </c>
      <c r="J123">
        <v>5.3930283544800179</v>
      </c>
      <c r="K123" t="str">
        <v>W</v>
      </c>
      <c r="L123">
        <v>7.7345694526172473</v>
      </c>
      <c r="M123">
        <v>315.79218320868677</v>
      </c>
      <c r="N123">
        <v>0.71897426304181222</v>
      </c>
      <c r="O123">
        <v>-0.68166325835037211</v>
      </c>
      <c r="P123">
        <v>-11.111111111111121</v>
      </c>
      <c r="U123">
        <v>5.5442591736979985</v>
      </c>
      <c r="V123">
        <v>-5.3930283544800179</v>
      </c>
    </row>
    <row r="124" spans="1:22" x14ac:dyDescent="0.2">
      <c r="A124">
        <v>114</v>
      </c>
      <c r="B124">
        <v>1626.33</v>
      </c>
      <c r="C124">
        <v>1.04</v>
      </c>
      <c r="D124">
        <v>113.4</v>
      </c>
      <c r="E124">
        <v>14.659999999999854</v>
      </c>
      <c r="F124">
        <v>1626.2337213357494</v>
      </c>
      <c r="G124">
        <v>5.4311087039935737</v>
      </c>
      <c r="H124">
        <v>5.4311087039935737</v>
      </c>
      <c r="I124" t="str">
        <v>N</v>
      </c>
      <c r="J124">
        <v>5.1395567738275769</v>
      </c>
      <c r="K124" t="str">
        <v>W</v>
      </c>
      <c r="L124">
        <v>7.4774317506742705</v>
      </c>
      <c r="M124">
        <v>316.57988739561085</v>
      </c>
      <c r="N124">
        <v>0.63508478151569792</v>
      </c>
      <c r="O124">
        <v>-0.61391541609823164</v>
      </c>
      <c r="P124">
        <v>-8.5948158253751945</v>
      </c>
      <c r="U124">
        <v>5.4311087039935737</v>
      </c>
      <c r="V124">
        <v>-5.1395567738275769</v>
      </c>
    </row>
    <row r="125" spans="1:22" x14ac:dyDescent="0.2">
      <c r="A125">
        <v>115</v>
      </c>
      <c r="B125">
        <v>1641</v>
      </c>
      <c r="C125">
        <v>1.02</v>
      </c>
      <c r="D125">
        <v>113.63</v>
      </c>
      <c r="E125">
        <v>14.670000000000073</v>
      </c>
      <c r="F125">
        <v>1640.9013507343532</v>
      </c>
      <c r="G125">
        <v>5.3258974829653631</v>
      </c>
      <c r="H125">
        <v>5.3258974829653605</v>
      </c>
      <c r="I125" t="str">
        <v>N</v>
      </c>
      <c r="J125">
        <v>4.8977477822210203</v>
      </c>
      <c r="K125" t="str">
        <v>W</v>
      </c>
      <c r="L125">
        <v>7.2355454070379297</v>
      </c>
      <c r="M125">
        <v>317.39805317735255</v>
      </c>
      <c r="N125">
        <v>0.13921495510207688</v>
      </c>
      <c r="O125">
        <v>-0.13633265167007441</v>
      </c>
      <c r="P125">
        <v>1.5678254942057848</v>
      </c>
      <c r="U125">
        <v>5.3258974829653605</v>
      </c>
      <c r="V125">
        <v>-4.8977477822210203</v>
      </c>
    </row>
    <row r="126" spans="1:22" x14ac:dyDescent="0.2">
      <c r="A126">
        <v>116</v>
      </c>
      <c r="B126">
        <v>1655.67</v>
      </c>
      <c r="C126">
        <v>1.02</v>
      </c>
      <c r="D126">
        <v>114.23</v>
      </c>
      <c r="E126">
        <v>14.670000000000073</v>
      </c>
      <c r="F126">
        <v>1655.5690261584743</v>
      </c>
      <c r="G126">
        <v>5.2199725078412902</v>
      </c>
      <c r="H126">
        <v>5.2199725078412929</v>
      </c>
      <c r="I126" t="str">
        <v>N</v>
      </c>
      <c r="J126">
        <v>4.6590519870836218</v>
      </c>
      <c r="K126" t="str">
        <v>W</v>
      </c>
      <c r="L126">
        <v>6.99677628633121</v>
      </c>
      <c r="M126">
        <v>318.24970433417309</v>
      </c>
      <c r="N126">
        <v>7.2807103157381411E-2</v>
      </c>
      <c r="O126">
        <v>0</v>
      </c>
      <c r="P126">
        <v>4.0899795501022869</v>
      </c>
      <c r="U126">
        <v>5.2199725078412929</v>
      </c>
      <c r="V126">
        <v>-4.6590519870836218</v>
      </c>
    </row>
    <row r="127" spans="1:22" x14ac:dyDescent="0.2">
      <c r="A127">
        <v>117</v>
      </c>
      <c r="B127">
        <v>1670.33</v>
      </c>
      <c r="C127">
        <v>1.02</v>
      </c>
      <c r="D127">
        <v>114.83</v>
      </c>
      <c r="E127">
        <v>14.659999999999854</v>
      </c>
      <c r="F127">
        <v>1670.2267031671734</v>
      </c>
      <c r="G127">
        <v>5.1116276748849172</v>
      </c>
      <c r="H127">
        <v>5.1116276748849154</v>
      </c>
      <c r="I127" t="str">
        <v>N</v>
      </c>
      <c r="J127">
        <v>4.4216404483752223</v>
      </c>
      <c r="K127" t="str">
        <v>W</v>
      </c>
      <c r="L127">
        <v>6.758671595909747</v>
      </c>
      <c r="M127">
        <v>319.13966555437338</v>
      </c>
      <c r="N127">
        <v>7.285676693852669E-2</v>
      </c>
      <c r="O127">
        <v>0</v>
      </c>
      <c r="P127">
        <v>4.0927694406548447</v>
      </c>
      <c r="U127">
        <v>5.1116276748849154</v>
      </c>
      <c r="V127">
        <v>-4.4216404483752223</v>
      </c>
    </row>
    <row r="128" spans="1:22" x14ac:dyDescent="0.2">
      <c r="A128">
        <v>118</v>
      </c>
      <c r="B128">
        <v>1685</v>
      </c>
      <c r="C128">
        <v>0.87</v>
      </c>
      <c r="D128">
        <v>115.26</v>
      </c>
      <c r="E128">
        <v>14.670000000000073</v>
      </c>
      <c r="F128">
        <v>1684.8946952986184</v>
      </c>
      <c r="G128">
        <v>5.0092704993264023</v>
      </c>
      <c r="H128">
        <v>5.0092704993264023</v>
      </c>
      <c r="I128" t="str">
        <v>N</v>
      </c>
      <c r="J128">
        <v>4.2024139285886664</v>
      </c>
      <c r="K128" t="str">
        <v>W</v>
      </c>
      <c r="L128">
        <v>6.5385834675882064</v>
      </c>
      <c r="M128">
        <v>320.0057936729454</v>
      </c>
      <c r="N128">
        <v>1.0236298397166497</v>
      </c>
      <c r="O128">
        <v>-1.0224948875255573</v>
      </c>
      <c r="P128">
        <v>2.931152010906644</v>
      </c>
      <c r="U128">
        <v>5.0092704993264023</v>
      </c>
      <c r="V128">
        <v>-4.2024139285886664</v>
      </c>
    </row>
    <row r="129" spans="1:22" x14ac:dyDescent="0.2">
      <c r="A129">
        <v>119</v>
      </c>
      <c r="B129">
        <v>1698.67</v>
      </c>
      <c r="C129">
        <v>0.19</v>
      </c>
      <c r="D129">
        <v>301.26</v>
      </c>
      <c r="E129">
        <v>13.670000000000073</v>
      </c>
      <c r="F129">
        <v>1698.564259038752</v>
      </c>
      <c r="G129">
        <v>4.9767451285005837</v>
      </c>
      <c r="H129">
        <v>4.976745128500581</v>
      </c>
      <c r="I129" t="str">
        <v>N</v>
      </c>
      <c r="J129">
        <v>4.1279292501971154</v>
      </c>
      <c r="K129" t="str">
        <v>W</v>
      </c>
      <c r="L129">
        <v>6.4658945219271233</v>
      </c>
      <c r="M129">
        <v>320.32620882321169</v>
      </c>
      <c r="N129">
        <v>7.7479544033059637</v>
      </c>
      <c r="O129">
        <v>-4.9743964886612746</v>
      </c>
      <c r="P129">
        <v>1360.6437454279371</v>
      </c>
      <c r="U129">
        <v>4.976745128500581</v>
      </c>
      <c r="V129">
        <v>-4.1279292501971154</v>
      </c>
    </row>
    <row r="130" spans="1:22" x14ac:dyDescent="0.2">
      <c r="A130">
        <v>120</v>
      </c>
      <c r="B130">
        <v>1712.33</v>
      </c>
      <c r="C130">
        <v>0.08</v>
      </c>
      <c r="D130">
        <v>284.63</v>
      </c>
      <c r="E130">
        <v>13.659999999999854</v>
      </c>
      <c r="F130">
        <v>1712.2242148273765</v>
      </c>
      <c r="G130">
        <v>4.9909069383140414</v>
      </c>
      <c r="H130">
        <v>4.9909069383140414</v>
      </c>
      <c r="I130" t="str">
        <v>N</v>
      </c>
      <c r="J130">
        <v>4.1565174556755329</v>
      </c>
      <c r="K130" t="str">
        <v>W</v>
      </c>
      <c r="L130">
        <v>6.4950588470195285</v>
      </c>
      <c r="M130">
        <v>320.21185657909427</v>
      </c>
      <c r="N130">
        <v>0.84652554284913395</v>
      </c>
      <c r="O130">
        <v>-0.80527086383602609</v>
      </c>
      <c r="P130">
        <v>-121.74231332357374</v>
      </c>
      <c r="U130">
        <v>4.9909069383140414</v>
      </c>
      <c r="V130">
        <v>-4.1565174556755329</v>
      </c>
    </row>
    <row r="131" spans="1:22" x14ac:dyDescent="0.2">
      <c r="A131">
        <v>121</v>
      </c>
      <c r="B131">
        <v>1726</v>
      </c>
      <c r="C131">
        <v>0.06</v>
      </c>
      <c r="D131">
        <v>177.16</v>
      </c>
      <c r="E131">
        <v>13.670000000000073</v>
      </c>
      <c r="F131">
        <v>1725.8942044170776</v>
      </c>
      <c r="G131">
        <v>4.986168583786954</v>
      </c>
      <c r="H131">
        <v>4.9861685837869523</v>
      </c>
      <c r="I131" t="str">
        <v>N</v>
      </c>
      <c r="J131">
        <v>4.1653968482225743</v>
      </c>
      <c r="K131" t="str">
        <v>W</v>
      </c>
      <c r="L131">
        <v>6.4971076679647641</v>
      </c>
      <c r="M131">
        <v>320.12494530356162</v>
      </c>
      <c r="N131">
        <v>0.83027657096147389</v>
      </c>
      <c r="O131">
        <v>-0.14630577907827283</v>
      </c>
      <c r="P131">
        <v>-786.1741038770989</v>
      </c>
      <c r="U131">
        <v>4.9861685837869523</v>
      </c>
      <c r="V131">
        <v>-4.1653968482225743</v>
      </c>
    </row>
    <row r="132" spans="1:22" x14ac:dyDescent="0.2">
      <c r="A132">
        <v>122</v>
      </c>
      <c r="B132">
        <v>1739.67</v>
      </c>
      <c r="C132">
        <v>0.16</v>
      </c>
      <c r="D132">
        <v>147.62</v>
      </c>
      <c r="E132">
        <v>13.670000000000073</v>
      </c>
      <c r="F132">
        <v>1739.5641740190183</v>
      </c>
      <c r="G132">
        <v>4.9629006126364423</v>
      </c>
      <c r="H132">
        <v>4.962900612636445</v>
      </c>
      <c r="I132" t="str">
        <v>N</v>
      </c>
      <c r="J132">
        <v>4.1548205662897733</v>
      </c>
      <c r="K132" t="str">
        <v>W</v>
      </c>
      <c r="L132">
        <v>6.4724737488051405</v>
      </c>
      <c r="M132">
        <v>320.06474353299393</v>
      </c>
      <c r="N132">
        <v>0.81773586910311502</v>
      </c>
      <c r="O132">
        <v>0.73152889539136412</v>
      </c>
      <c r="P132">
        <v>-216.09363569860886</v>
      </c>
      <c r="U132">
        <v>4.962900612636445</v>
      </c>
      <c r="V132">
        <v>-4.1548205662897733</v>
      </c>
    </row>
    <row r="133" spans="1:22" x14ac:dyDescent="0.2">
      <c r="A133">
        <v>123</v>
      </c>
      <c r="B133">
        <v>1753.33</v>
      </c>
      <c r="C133">
        <v>0.26</v>
      </c>
      <c r="D133">
        <v>141.66</v>
      </c>
      <c r="E133">
        <v>13.659999999999854</v>
      </c>
      <c r="F133">
        <v>1753.2240770661331</v>
      </c>
      <c r="G133">
        <v>4.9224837248700721</v>
      </c>
      <c r="H133">
        <v>4.9224837248700704</v>
      </c>
      <c r="I133" t="str">
        <v>N</v>
      </c>
      <c r="J133">
        <v>4.1253803328352481</v>
      </c>
      <c r="K133" t="str">
        <v>W</v>
      </c>
      <c r="L133">
        <v>6.4225858431129268</v>
      </c>
      <c r="M133">
        <v>320.03467468132732</v>
      </c>
      <c r="N133">
        <v>0.74834477923268417</v>
      </c>
      <c r="O133">
        <v>0.73206442166911467</v>
      </c>
      <c r="P133">
        <v>-43.631039531479288</v>
      </c>
      <c r="U133">
        <v>4.9224837248700704</v>
      </c>
      <c r="V133">
        <v>-4.1253803328352481</v>
      </c>
    </row>
    <row r="134" spans="1:22" x14ac:dyDescent="0.2">
      <c r="A134">
        <v>124</v>
      </c>
      <c r="B134">
        <v>1767</v>
      </c>
      <c r="C134">
        <v>0.37</v>
      </c>
      <c r="D134">
        <v>139.19</v>
      </c>
      <c r="E134">
        <v>13.670000000000073</v>
      </c>
      <c r="F134">
        <v>1766.8938641761076</v>
      </c>
      <c r="G134">
        <v>4.8647490545873167</v>
      </c>
      <c r="H134">
        <v>4.8647490545873167</v>
      </c>
      <c r="I134" t="str">
        <v>N</v>
      </c>
      <c r="J134">
        <v>4.0772935527676086</v>
      </c>
      <c r="K134" t="str">
        <v>W</v>
      </c>
      <c r="L134">
        <v>6.3474487851063826</v>
      </c>
      <c r="M134">
        <v>320.03260715947539</v>
      </c>
      <c r="N134">
        <v>0.81060375052339029</v>
      </c>
      <c r="O134">
        <v>0.80468178493050035</v>
      </c>
      <c r="P134">
        <v>-18.068763716166682</v>
      </c>
      <c r="U134">
        <v>4.8647490545873167</v>
      </c>
      <c r="V134">
        <v>-4.0772935527676086</v>
      </c>
    </row>
    <row r="135" spans="1:22" x14ac:dyDescent="0.2">
      <c r="A135">
        <v>125</v>
      </c>
      <c r="B135">
        <v>1781.33</v>
      </c>
      <c r="C135">
        <v>0.36</v>
      </c>
      <c r="D135">
        <v>143.30000000000001</v>
      </c>
      <c r="E135">
        <v>14.329999999999927</v>
      </c>
      <c r="F135">
        <v>1781.2235733477989</v>
      </c>
      <c r="G135">
        <v>4.7936338353732051</v>
      </c>
      <c r="H135">
        <v>4.7936338353732069</v>
      </c>
      <c r="I135" t="str">
        <v>N</v>
      </c>
      <c r="J135">
        <v>4.0201498491463754</v>
      </c>
      <c r="K135" t="str">
        <v>W</v>
      </c>
      <c r="L135">
        <v>6.2562392982706845</v>
      </c>
      <c r="M135">
        <v>320.01533979337614</v>
      </c>
      <c r="N135">
        <v>0.19553062414397709</v>
      </c>
      <c r="O135">
        <v>-6.9783670621075086E-2</v>
      </c>
      <c r="P135">
        <v>28.681088625261932</v>
      </c>
      <c r="U135">
        <v>4.7936338353732069</v>
      </c>
      <c r="V135">
        <v>-4.0201498491463754</v>
      </c>
    </row>
    <row r="136" spans="1:22" x14ac:dyDescent="0.2">
      <c r="A136">
        <v>126</v>
      </c>
      <c r="B136">
        <v>1795.67</v>
      </c>
      <c r="C136">
        <v>0.35</v>
      </c>
      <c r="D136">
        <v>147.66999999999999</v>
      </c>
      <c r="E136">
        <v>14.340000000000146</v>
      </c>
      <c r="F136">
        <v>1795.563298042006</v>
      </c>
      <c r="G136">
        <v>4.7205045633770437</v>
      </c>
      <c r="H136">
        <v>4.7205045633770428</v>
      </c>
      <c r="I136" t="str">
        <v>N</v>
      </c>
      <c r="J136">
        <v>3.9698033970346338</v>
      </c>
      <c r="K136" t="str">
        <v>W</v>
      </c>
      <c r="L136">
        <v>6.1678604348648491</v>
      </c>
      <c r="M136">
        <v>319.93716653717684</v>
      </c>
      <c r="N136">
        <v>0.20122007978688353</v>
      </c>
      <c r="O136">
        <v>-6.9735006973500047E-2</v>
      </c>
      <c r="P136">
        <v>30.474198047419328</v>
      </c>
      <c r="U136">
        <v>4.7205045633770428</v>
      </c>
      <c r="V136">
        <v>-3.9698033970346338</v>
      </c>
    </row>
    <row r="137" spans="1:22" x14ac:dyDescent="0.2">
      <c r="A137">
        <v>127</v>
      </c>
      <c r="B137">
        <v>1810</v>
      </c>
      <c r="C137">
        <v>0.35</v>
      </c>
      <c r="D137">
        <v>152.26</v>
      </c>
      <c r="E137">
        <v>14.329999999999927</v>
      </c>
      <c r="F137">
        <v>1809.8930306763202</v>
      </c>
      <c r="G137">
        <v>4.6447833148191888</v>
      </c>
      <c r="H137">
        <v>4.6447833148191897</v>
      </c>
      <c r="I137" t="str">
        <v>N</v>
      </c>
      <c r="J137">
        <v>3.9260240180582753</v>
      </c>
      <c r="K137" t="str">
        <v>W</v>
      </c>
      <c r="L137">
        <v>6.0817494713275702</v>
      </c>
      <c r="M137">
        <v>319.79368368599484</v>
      </c>
      <c r="N137">
        <v>0.19561090926991084</v>
      </c>
      <c r="O137">
        <v>0</v>
      </c>
      <c r="P137">
        <v>32.030704815073463</v>
      </c>
      <c r="U137">
        <v>4.6447833148191897</v>
      </c>
      <c r="V137">
        <v>-3.9260240180582753</v>
      </c>
    </row>
    <row r="138" spans="1:22" x14ac:dyDescent="0.2">
      <c r="A138">
        <v>128</v>
      </c>
      <c r="B138">
        <v>1824.33</v>
      </c>
      <c r="C138">
        <v>0.34</v>
      </c>
      <c r="D138">
        <v>157.03</v>
      </c>
      <c r="E138">
        <v>14.329999999999927</v>
      </c>
      <c r="F138">
        <v>1824.2227708405032</v>
      </c>
      <c r="G138">
        <v>4.5668989656446346</v>
      </c>
      <c r="H138">
        <v>4.5668989656446364</v>
      </c>
      <c r="I138" t="str">
        <v>N</v>
      </c>
      <c r="J138">
        <v>3.8890591585056469</v>
      </c>
      <c r="K138" t="str">
        <v>W</v>
      </c>
      <c r="L138">
        <v>5.9984454070002755</v>
      </c>
      <c r="M138">
        <v>319.58309886899758</v>
      </c>
      <c r="N138">
        <v>0.21215778690302289</v>
      </c>
      <c r="O138">
        <v>-6.9783670621074698E-2</v>
      </c>
      <c r="P138">
        <v>33.286810886252859</v>
      </c>
      <c r="U138">
        <v>4.5668989656446364</v>
      </c>
      <c r="V138">
        <v>-3.8890591585056469</v>
      </c>
    </row>
    <row r="139" spans="1:22" x14ac:dyDescent="0.2">
      <c r="A139">
        <v>129</v>
      </c>
      <c r="B139">
        <v>1838.67</v>
      </c>
      <c r="C139">
        <v>0.34</v>
      </c>
      <c r="D139">
        <v>161.91999999999999</v>
      </c>
      <c r="E139">
        <v>14.340000000000146</v>
      </c>
      <c r="F139">
        <v>1838.5625183584866</v>
      </c>
      <c r="G139">
        <v>4.4872786182119766</v>
      </c>
      <c r="H139">
        <v>4.4872786182119757</v>
      </c>
      <c r="I139" t="str">
        <v>N</v>
      </c>
      <c r="J139">
        <v>3.8592507266054676</v>
      </c>
      <c r="K139" t="str">
        <v>W</v>
      </c>
      <c r="L139">
        <v>5.918571243827957</v>
      </c>
      <c r="M139">
        <v>319.30306622529633</v>
      </c>
      <c r="N139">
        <v>0.20229336146656843</v>
      </c>
      <c r="O139">
        <v>0</v>
      </c>
      <c r="P139">
        <v>34.100418410041399</v>
      </c>
      <c r="U139">
        <v>4.4872786182119757</v>
      </c>
      <c r="V139">
        <v>-3.8592507266054676</v>
      </c>
    </row>
    <row r="140" spans="1:22" x14ac:dyDescent="0.2">
      <c r="A140">
        <v>130</v>
      </c>
      <c r="B140">
        <v>1853</v>
      </c>
      <c r="C140">
        <v>0.34</v>
      </c>
      <c r="D140">
        <v>166.85</v>
      </c>
      <c r="E140">
        <v>14.329999999999927</v>
      </c>
      <c r="F140">
        <v>1852.8922660525382</v>
      </c>
      <c r="G140">
        <v>4.4054574429319349</v>
      </c>
      <c r="H140">
        <v>4.4054574429319349</v>
      </c>
      <c r="I140" t="str">
        <v>N</v>
      </c>
      <c r="J140">
        <v>3.836382751704424</v>
      </c>
      <c r="K140" t="str">
        <v>W</v>
      </c>
      <c r="L140">
        <v>5.8417367194233938</v>
      </c>
      <c r="M140">
        <v>318.94983515188903</v>
      </c>
      <c r="N140">
        <v>0.20408941777039283</v>
      </c>
      <c r="O140">
        <v>0</v>
      </c>
      <c r="P140">
        <v>34.403349616190035</v>
      </c>
      <c r="U140">
        <v>4.4054574429319349</v>
      </c>
      <c r="V140">
        <v>-3.836382751704424</v>
      </c>
    </row>
    <row r="141" spans="1:22" x14ac:dyDescent="0.2">
      <c r="A141">
        <v>131</v>
      </c>
      <c r="B141">
        <v>1865.83</v>
      </c>
      <c r="C141">
        <v>0.36</v>
      </c>
      <c r="D141">
        <v>173.47</v>
      </c>
      <c r="E141">
        <v>12.829999999999927</v>
      </c>
      <c r="F141">
        <v>1865.7220264780824</v>
      </c>
      <c r="G141">
        <v>4.328343615492372</v>
      </c>
      <c r="H141">
        <v>4.328343615492372</v>
      </c>
      <c r="I141" t="str">
        <v>N</v>
      </c>
      <c r="J141">
        <v>3.8231386511448044</v>
      </c>
      <c r="K141" t="str">
        <v>W</v>
      </c>
      <c r="L141">
        <v>5.7750279306381618</v>
      </c>
      <c r="M141">
        <v>318.54648814755507</v>
      </c>
      <c r="N141">
        <v>0.3513602482589972</v>
      </c>
      <c r="O141">
        <v>0.15588464536243238</v>
      </c>
      <c r="P141">
        <v>51.597817614965251</v>
      </c>
      <c r="U141">
        <v>4.328343615492372</v>
      </c>
      <c r="V141">
        <v>-3.8231386511448044</v>
      </c>
    </row>
    <row r="142" spans="1:22" x14ac:dyDescent="0.2">
      <c r="A142">
        <v>132</v>
      </c>
      <c r="B142">
        <v>1878.67</v>
      </c>
      <c r="C142">
        <v>0.38</v>
      </c>
      <c r="D142">
        <v>179.3</v>
      </c>
      <c r="E142">
        <v>12.840000000000146</v>
      </c>
      <c r="F142">
        <v>1878.5617585558116</v>
      </c>
      <c r="G142">
        <v>4.2456919621561191</v>
      </c>
      <c r="H142">
        <v>4.24569196215612</v>
      </c>
      <c r="I142" t="str">
        <v>N</v>
      </c>
      <c r="J142">
        <v>3.8180311154049598</v>
      </c>
      <c r="K142" t="str">
        <v>W</v>
      </c>
      <c r="L142">
        <v>5.7099266051077686</v>
      </c>
      <c r="M142">
        <v>318.03584665067746</v>
      </c>
      <c r="N142">
        <v>0.3318097727959205</v>
      </c>
      <c r="O142">
        <v>0.15576323987538779</v>
      </c>
      <c r="P142">
        <v>45.404984423675593</v>
      </c>
      <c r="U142">
        <v>4.24569196215612</v>
      </c>
      <c r="V142">
        <v>-3.8180311154049598</v>
      </c>
    </row>
    <row r="143" spans="1:22" x14ac:dyDescent="0.2">
      <c r="A143">
        <v>133</v>
      </c>
      <c r="B143">
        <v>1891.5</v>
      </c>
      <c r="C143">
        <v>0.41</v>
      </c>
      <c r="D143">
        <v>184.38</v>
      </c>
      <c r="E143">
        <v>12.829999999999927</v>
      </c>
      <c r="F143">
        <v>1891.3914532256626</v>
      </c>
      <c r="G143">
        <v>4.1573792375930836</v>
      </c>
      <c r="H143">
        <v>4.1573792375930827</v>
      </c>
      <c r="I143" t="str">
        <v>N</v>
      </c>
      <c r="J143">
        <v>3.821017099232058</v>
      </c>
      <c r="K143" t="str">
        <v>W</v>
      </c>
      <c r="L143">
        <v>5.6465895722811137</v>
      </c>
      <c r="M143">
        <v>317.41410983188132</v>
      </c>
      <c r="N143">
        <v>0.35920627952255807</v>
      </c>
      <c r="O143">
        <v>0.2338269680436488</v>
      </c>
      <c r="P143">
        <v>39.594699922057778</v>
      </c>
      <c r="U143">
        <v>4.1573792375930827</v>
      </c>
      <c r="V143">
        <v>-3.821017099232058</v>
      </c>
    </row>
    <row r="144" spans="1:22" x14ac:dyDescent="0.2">
      <c r="A144">
        <v>134</v>
      </c>
      <c r="B144">
        <v>1904.33</v>
      </c>
      <c r="C144">
        <v>0.44</v>
      </c>
      <c r="D144">
        <v>188.77</v>
      </c>
      <c r="E144">
        <v>12.829999999999927</v>
      </c>
      <c r="F144">
        <v>1904.2210998245557</v>
      </c>
      <c r="G144">
        <v>4.0629217057404388</v>
      </c>
      <c r="H144">
        <v>4.0629217057404405</v>
      </c>
      <c r="I144" t="str">
        <v>N</v>
      </c>
      <c r="J144">
        <v>3.8320339395796332</v>
      </c>
      <c r="K144" t="str">
        <v>W</v>
      </c>
      <c r="L144">
        <v>5.5849634646134447</v>
      </c>
      <c r="M144">
        <v>316.67513608078104</v>
      </c>
      <c r="N144">
        <v>0.344935244177977</v>
      </c>
      <c r="O144">
        <v>0.23382696804364925</v>
      </c>
      <c r="P144">
        <v>34.216679657054087</v>
      </c>
      <c r="U144">
        <v>4.0629217057404405</v>
      </c>
      <c r="V144">
        <v>-3.8320339395796332</v>
      </c>
    </row>
    <row r="145" spans="1:22" x14ac:dyDescent="0.2">
      <c r="A145">
        <v>135</v>
      </c>
      <c r="B145">
        <v>1917.17</v>
      </c>
      <c r="C145">
        <v>0.47</v>
      </c>
      <c r="D145">
        <v>192.57</v>
      </c>
      <c r="E145">
        <v>12.840000000000146</v>
      </c>
      <c r="F145">
        <v>1917.0606945195127</v>
      </c>
      <c r="G145">
        <v>3.9627958590516759</v>
      </c>
      <c r="H145">
        <v>3.9627958590516754</v>
      </c>
      <c r="I145" t="str">
        <v>N</v>
      </c>
      <c r="J145">
        <v>3.8510120311660643</v>
      </c>
      <c r="K145" t="str">
        <v>W</v>
      </c>
      <c r="L145">
        <v>5.5257619098820108</v>
      </c>
      <c r="M145">
        <v>315.81961378732302</v>
      </c>
      <c r="N145">
        <v>0.33127564230925605</v>
      </c>
      <c r="O145">
        <v>0.23364485981308122</v>
      </c>
      <c r="P145">
        <v>29.595015576323519</v>
      </c>
      <c r="U145">
        <v>3.9627958590516754</v>
      </c>
      <c r="V145">
        <v>-3.8510120311660643</v>
      </c>
    </row>
    <row r="146" spans="1:22" x14ac:dyDescent="0.2">
      <c r="A146">
        <v>136</v>
      </c>
      <c r="B146">
        <v>1930</v>
      </c>
      <c r="C146">
        <v>0.51</v>
      </c>
      <c r="D146">
        <v>195.86</v>
      </c>
      <c r="E146">
        <v>12.829999999999927</v>
      </c>
      <c r="F146">
        <v>1929.8902245563609</v>
      </c>
      <c r="G146">
        <v>3.8565085684153981</v>
      </c>
      <c r="H146">
        <v>3.856508568415399</v>
      </c>
      <c r="I146" t="str">
        <v>N</v>
      </c>
      <c r="J146">
        <v>3.8780690793822625</v>
      </c>
      <c r="K146" t="str">
        <v>W</v>
      </c>
      <c r="L146">
        <v>5.4691935532327047</v>
      </c>
      <c r="M146">
        <v>314.8402856446541</v>
      </c>
      <c r="N146">
        <v>0.38104986380486716</v>
      </c>
      <c r="O146">
        <v>0.31176929072486564</v>
      </c>
      <c r="P146">
        <v>25.643024162120337</v>
      </c>
      <c r="U146">
        <v>3.856508568415399</v>
      </c>
      <c r="V146">
        <v>-3.8780690793822625</v>
      </c>
    </row>
    <row r="147" spans="1:22" x14ac:dyDescent="0.2">
      <c r="A147">
        <v>137</v>
      </c>
      <c r="B147">
        <v>1944</v>
      </c>
      <c r="C147">
        <v>0.51</v>
      </c>
      <c r="D147">
        <v>198.85</v>
      </c>
      <c r="E147">
        <v>14</v>
      </c>
      <c r="F147">
        <v>1943.8896699430866</v>
      </c>
      <c r="G147">
        <v>3.7376072965807814</v>
      </c>
      <c r="H147">
        <v>3.7376072965807823</v>
      </c>
      <c r="I147" t="str">
        <v>N</v>
      </c>
      <c r="J147">
        <v>3.9152279486007853</v>
      </c>
      <c r="K147" t="str">
        <v>W</v>
      </c>
      <c r="L147">
        <v>5.4128290378469019</v>
      </c>
      <c r="M147">
        <v>313.67041605297976</v>
      </c>
      <c r="N147">
        <v>0.19007967652534202</v>
      </c>
      <c r="O147">
        <v>0</v>
      </c>
      <c r="P147">
        <v>21.357142857142719</v>
      </c>
      <c r="U147">
        <v>3.7376072965807823</v>
      </c>
      <c r="V147">
        <v>-3.9152279486007853</v>
      </c>
    </row>
    <row r="148" spans="1:22" x14ac:dyDescent="0.2">
      <c r="A148">
        <v>138</v>
      </c>
      <c r="B148">
        <v>1958</v>
      </c>
      <c r="C148">
        <v>0.51</v>
      </c>
      <c r="D148">
        <v>201.84</v>
      </c>
      <c r="E148">
        <v>14</v>
      </c>
      <c r="F148">
        <v>1957.8891153298123</v>
      </c>
      <c r="G148">
        <v>3.6208061588956135</v>
      </c>
      <c r="H148">
        <v>3.6208061588956135</v>
      </c>
      <c r="I148" t="str">
        <v>N</v>
      </c>
      <c r="J148">
        <v>3.9585383196559829</v>
      </c>
      <c r="K148" t="str">
        <v>W</v>
      </c>
      <c r="L148">
        <v>5.3647239321777986</v>
      </c>
      <c r="M148">
        <v>312.44861373245629</v>
      </c>
      <c r="N148">
        <v>0.19007967652534202</v>
      </c>
      <c r="O148">
        <v>0</v>
      </c>
      <c r="P148">
        <v>21.357142857142922</v>
      </c>
      <c r="U148">
        <v>3.6208061588956135</v>
      </c>
      <c r="V148">
        <v>-3.9585383196559829</v>
      </c>
    </row>
    <row r="149" spans="1:22" x14ac:dyDescent="0.2">
      <c r="A149">
        <v>139</v>
      </c>
      <c r="B149">
        <v>1972</v>
      </c>
      <c r="C149">
        <v>0.51</v>
      </c>
      <c r="D149">
        <v>204.83</v>
      </c>
      <c r="E149">
        <v>14</v>
      </c>
      <c r="F149">
        <v>1971.888560716538</v>
      </c>
      <c r="G149">
        <v>3.5064231689082734</v>
      </c>
      <c r="H149">
        <v>3.5064231689082725</v>
      </c>
      <c r="I149" t="str">
        <v>N</v>
      </c>
      <c r="J149">
        <v>4.0078822717377172</v>
      </c>
      <c r="K149" t="str">
        <v>W</v>
      </c>
      <c r="L149">
        <v>5.3252346186404047</v>
      </c>
      <c r="M149">
        <v>311.18208856151853</v>
      </c>
      <c r="N149">
        <v>0.19007967652534202</v>
      </c>
      <c r="O149">
        <v>0</v>
      </c>
      <c r="P149">
        <v>21.357142857142922</v>
      </c>
      <c r="U149">
        <v>3.5064231689082725</v>
      </c>
      <c r="V149">
        <v>-4.0078822717377172</v>
      </c>
    </row>
    <row r="150" spans="1:22" x14ac:dyDescent="0.2">
      <c r="A150">
        <v>140</v>
      </c>
      <c r="B150">
        <v>1986</v>
      </c>
      <c r="C150">
        <v>0.51</v>
      </c>
      <c r="D150">
        <v>207.78</v>
      </c>
      <c r="E150">
        <v>14</v>
      </c>
      <c r="F150">
        <v>1985.8880061032637</v>
      </c>
      <c r="G150">
        <v>3.3947494690396498</v>
      </c>
      <c r="H150">
        <v>3.3947494690396498</v>
      </c>
      <c r="I150" t="str">
        <v>N</v>
      </c>
      <c r="J150">
        <v>4.0630869782476875</v>
      </c>
      <c r="K150" t="str">
        <v>W</v>
      </c>
      <c r="L150">
        <v>5.2946198872393957</v>
      </c>
      <c r="M150">
        <v>309.87909118269454</v>
      </c>
      <c r="N150">
        <v>0.18753737017207547</v>
      </c>
      <c r="O150">
        <v>0</v>
      </c>
      <c r="P150">
        <v>21.071428571428491</v>
      </c>
      <c r="U150">
        <v>3.3947494690396498</v>
      </c>
      <c r="V150">
        <v>-4.0630869782476875</v>
      </c>
    </row>
    <row r="151" spans="1:22" x14ac:dyDescent="0.2">
      <c r="A151">
        <v>141</v>
      </c>
      <c r="B151">
        <v>2000</v>
      </c>
      <c r="C151">
        <v>0.52</v>
      </c>
      <c r="D151">
        <v>210.68</v>
      </c>
      <c r="E151">
        <v>14</v>
      </c>
      <c r="F151">
        <v>1999.8874405086792</v>
      </c>
      <c r="G151">
        <v>3.2849863900428193</v>
      </c>
      <c r="H151">
        <v>3.2849863900428207</v>
      </c>
      <c r="I151" t="str">
        <v>N</v>
      </c>
      <c r="J151">
        <v>4.1245423596343915</v>
      </c>
      <c r="K151" t="str">
        <v>W</v>
      </c>
      <c r="L151">
        <v>5.2728536163243716</v>
      </c>
      <c r="M151">
        <v>308.53552323834026</v>
      </c>
      <c r="N151">
        <v>0.19939125081351552</v>
      </c>
      <c r="O151">
        <v>7.1428571428571494E-2</v>
      </c>
      <c r="P151">
        <v>20.714285714285754</v>
      </c>
      <c r="U151">
        <v>3.2849863900428207</v>
      </c>
      <c r="V151">
        <v>-4.1245423596343915</v>
      </c>
    </row>
    <row r="152" spans="1:22" x14ac:dyDescent="0.2">
      <c r="A152">
        <v>142</v>
      </c>
      <c r="B152">
        <v>2014</v>
      </c>
      <c r="C152">
        <v>0.52</v>
      </c>
      <c r="D152">
        <v>213.53</v>
      </c>
      <c r="E152">
        <v>14</v>
      </c>
      <c r="F152">
        <v>2013.8868639327848</v>
      </c>
      <c r="G152">
        <v>3.1773917602952326</v>
      </c>
      <c r="H152">
        <v>3.1773917602952348</v>
      </c>
      <c r="I152" t="str">
        <v>N</v>
      </c>
      <c r="J152">
        <v>4.1920494285236831</v>
      </c>
      <c r="K152" t="str">
        <v>W</v>
      </c>
      <c r="L152">
        <v>5.2601422803549518</v>
      </c>
      <c r="M152">
        <v>307.1605500268322</v>
      </c>
      <c r="N152">
        <v>0.18473398682669678</v>
      </c>
      <c r="O152">
        <v>0</v>
      </c>
      <c r="P152">
        <v>20.357142857142819</v>
      </c>
      <c r="U152">
        <v>3.1773917602952348</v>
      </c>
      <c r="V152">
        <v>-4.1920494285236831</v>
      </c>
    </row>
    <row r="153" spans="1:22" x14ac:dyDescent="0.2">
      <c r="A153">
        <v>143</v>
      </c>
      <c r="B153">
        <v>2028.17</v>
      </c>
      <c r="C153">
        <v>0.55000000000000004</v>
      </c>
      <c r="D153">
        <v>216.38</v>
      </c>
      <c r="E153">
        <v>14.170000000000073</v>
      </c>
      <c r="F153">
        <v>2028.0562457167739</v>
      </c>
      <c r="G153">
        <v>3.069036073006477</v>
      </c>
      <c r="H153">
        <v>3.0690360730064805</v>
      </c>
      <c r="I153" t="str">
        <v>N</v>
      </c>
      <c r="J153">
        <v>4.2679066947640347</v>
      </c>
      <c r="K153" t="str">
        <v>W</v>
      </c>
      <c r="L153">
        <v>5.2568060619188444</v>
      </c>
      <c r="M153">
        <v>305.71977355795633</v>
      </c>
      <c r="N153">
        <v>0.28294476016561809</v>
      </c>
      <c r="O153">
        <v>0.21171489061397228</v>
      </c>
      <c r="P153">
        <v>20.112914608327308</v>
      </c>
      <c r="U153">
        <v>3.0690360730064805</v>
      </c>
      <c r="V153">
        <v>-4.2679066947640347</v>
      </c>
    </row>
    <row r="154" spans="1:22" x14ac:dyDescent="0.2">
      <c r="A154">
        <v>144</v>
      </c>
      <c r="B154">
        <v>2042.33</v>
      </c>
      <c r="C154">
        <v>0.59</v>
      </c>
      <c r="D154">
        <v>218.93</v>
      </c>
      <c r="E154">
        <v>14.159999999999854</v>
      </c>
      <c r="F154">
        <v>2042.2155441509053</v>
      </c>
      <c r="G154">
        <v>2.9576062135092824</v>
      </c>
      <c r="H154">
        <v>2.9576062135092793</v>
      </c>
      <c r="I154" t="str">
        <v>N</v>
      </c>
      <c r="J154">
        <v>4.354028677995089</v>
      </c>
      <c r="K154" t="str">
        <v>W</v>
      </c>
      <c r="L154">
        <v>5.2635539555505995</v>
      </c>
      <c r="M154">
        <v>304.18749813078057</v>
      </c>
      <c r="N154">
        <v>0.33443826607023891</v>
      </c>
      <c r="O154">
        <v>0.28248587570621703</v>
      </c>
      <c r="P154">
        <v>18.00847457627145</v>
      </c>
      <c r="U154">
        <v>2.9576062135092793</v>
      </c>
      <c r="V154">
        <v>-4.354028677995089</v>
      </c>
    </row>
    <row r="155" spans="1:22" x14ac:dyDescent="0.2">
      <c r="A155">
        <v>145</v>
      </c>
      <c r="B155">
        <v>2056.5</v>
      </c>
      <c r="C155">
        <v>0.62</v>
      </c>
      <c r="D155">
        <v>221.21</v>
      </c>
      <c r="E155">
        <v>14.170000000000073</v>
      </c>
      <c r="F155">
        <v>2056.3847537122415</v>
      </c>
      <c r="G155">
        <v>2.8431771188630464</v>
      </c>
      <c r="H155">
        <v>2.8431771188630481</v>
      </c>
      <c r="I155" t="str">
        <v>N</v>
      </c>
      <c r="J155">
        <v>4.4503810083497752</v>
      </c>
      <c r="K155" t="str">
        <v>W</v>
      </c>
      <c r="L155">
        <v>5.2810555051719295</v>
      </c>
      <c r="M155">
        <v>302.57294302094812</v>
      </c>
      <c r="N155">
        <v>0.27141695272746963</v>
      </c>
      <c r="O155">
        <v>0.21171489061397228</v>
      </c>
      <c r="P155">
        <v>16.090331686661887</v>
      </c>
      <c r="U155">
        <v>2.8431771188630481</v>
      </c>
      <c r="V155">
        <v>-4.4503810083497752</v>
      </c>
    </row>
    <row r="156" spans="1:22" x14ac:dyDescent="0.2">
      <c r="A156">
        <v>146</v>
      </c>
      <c r="B156">
        <v>2070.67</v>
      </c>
      <c r="C156">
        <v>0.65</v>
      </c>
      <c r="D156">
        <v>223.27</v>
      </c>
      <c r="E156">
        <v>14.170000000000073</v>
      </c>
      <c r="F156">
        <v>2070.5538829895718</v>
      </c>
      <c r="G156">
        <v>2.726977979792319</v>
      </c>
      <c r="H156">
        <v>2.7269779797923173</v>
      </c>
      <c r="I156" t="str">
        <v>N</v>
      </c>
      <c r="J156">
        <v>4.5559819360564147</v>
      </c>
      <c r="K156" t="str">
        <v>W</v>
      </c>
      <c r="L156">
        <v>5.3097439019169785</v>
      </c>
      <c r="M156">
        <v>300.90258367163148</v>
      </c>
      <c r="N156">
        <v>0.26601576926419374</v>
      </c>
      <c r="O156">
        <v>0.21171489061397228</v>
      </c>
      <c r="P156">
        <v>14.537755822159435</v>
      </c>
      <c r="U156">
        <v>2.7269779797923173</v>
      </c>
      <c r="V156">
        <v>-4.5559819360564147</v>
      </c>
    </row>
    <row r="157" spans="1:22" x14ac:dyDescent="0.2">
      <c r="A157">
        <v>147</v>
      </c>
      <c r="B157">
        <v>2084.83</v>
      </c>
      <c r="C157">
        <v>0.68</v>
      </c>
      <c r="D157">
        <v>225.13</v>
      </c>
      <c r="E157">
        <v>14.159999999999854</v>
      </c>
      <c r="F157">
        <v>2084.712928772231</v>
      </c>
      <c r="G157">
        <v>2.6092158549652407</v>
      </c>
      <c r="H157">
        <v>2.6092158549652402</v>
      </c>
      <c r="I157" t="str">
        <v>N</v>
      </c>
      <c r="J157">
        <v>4.6705845210696513</v>
      </c>
      <c r="K157" t="str">
        <v>W</v>
      </c>
      <c r="L157">
        <v>5.3499875837479669</v>
      </c>
      <c r="M157">
        <v>299.18985114534485</v>
      </c>
      <c r="N157">
        <v>0.26098831039660531</v>
      </c>
      <c r="O157">
        <v>0.21186440677966337</v>
      </c>
      <c r="P157">
        <v>13.135593220339013</v>
      </c>
      <c r="U157">
        <v>2.6092158549652402</v>
      </c>
      <c r="V157">
        <v>-4.6705845210696513</v>
      </c>
    </row>
    <row r="158" spans="1:22" x14ac:dyDescent="0.2">
      <c r="A158">
        <v>148</v>
      </c>
      <c r="B158">
        <v>2099</v>
      </c>
      <c r="C158">
        <v>0.72</v>
      </c>
      <c r="D158">
        <v>226.82</v>
      </c>
      <c r="E158">
        <v>14.170000000000073</v>
      </c>
      <c r="F158">
        <v>2098.8818703970983</v>
      </c>
      <c r="G158">
        <v>2.4889713523116561</v>
      </c>
      <c r="H158">
        <v>2.488971352311657</v>
      </c>
      <c r="I158" t="str">
        <v>N</v>
      </c>
      <c r="J158">
        <v>4.7950976232728797</v>
      </c>
      <c r="K158" t="str">
        <v>W</v>
      </c>
      <c r="L158">
        <v>5.4025863814792761</v>
      </c>
      <c r="M158">
        <v>297.43228413802314</v>
      </c>
      <c r="N158">
        <v>0.31764357936717091</v>
      </c>
      <c r="O158">
        <v>0.28228652081862893</v>
      </c>
      <c r="P158">
        <v>11.926605504587078</v>
      </c>
      <c r="U158">
        <v>2.488971352311657</v>
      </c>
      <c r="V158">
        <v>-4.7950976232728797</v>
      </c>
    </row>
    <row r="159" spans="1:22" x14ac:dyDescent="0.2">
      <c r="A159">
        <v>149</v>
      </c>
      <c r="B159">
        <v>2113.17</v>
      </c>
      <c r="C159">
        <v>0.72</v>
      </c>
      <c r="D159">
        <v>229.55</v>
      </c>
      <c r="E159">
        <v>14.170000000000073</v>
      </c>
      <c r="F159">
        <v>2113.0507515934664</v>
      </c>
      <c r="G159">
        <v>2.3702869989920901</v>
      </c>
      <c r="H159">
        <v>2.3702869989920883</v>
      </c>
      <c r="I159" t="str">
        <v>N</v>
      </c>
      <c r="J159">
        <v>4.9277689302369447</v>
      </c>
      <c r="K159" t="str">
        <v>W</v>
      </c>
      <c r="L159">
        <v>5.468195962783291</v>
      </c>
      <c r="M159">
        <v>295.68783907525528</v>
      </c>
      <c r="N159">
        <v>0.2420751190935454</v>
      </c>
      <c r="O159">
        <v>0</v>
      </c>
      <c r="P159">
        <v>19.266055045871589</v>
      </c>
      <c r="U159">
        <v>2.3702869989920883</v>
      </c>
      <c r="V159">
        <v>-4.9277689302369447</v>
      </c>
    </row>
    <row r="160" spans="1:22" x14ac:dyDescent="0.2">
      <c r="A160">
        <v>150</v>
      </c>
      <c r="B160">
        <v>2127.33</v>
      </c>
      <c r="C160">
        <v>0.72</v>
      </c>
      <c r="D160">
        <v>232.3</v>
      </c>
      <c r="E160">
        <v>14.159999999999854</v>
      </c>
      <c r="F160">
        <v>2127.2096335793922</v>
      </c>
      <c r="G160">
        <v>2.2581601781862863</v>
      </c>
      <c r="H160">
        <v>2.258160178186289</v>
      </c>
      <c r="I160" t="str">
        <v>N</v>
      </c>
      <c r="J160">
        <v>5.0658640210621968</v>
      </c>
      <c r="K160" t="str">
        <v>W</v>
      </c>
      <c r="L160">
        <v>5.5463741011798673</v>
      </c>
      <c r="M160">
        <v>294.02540685985053</v>
      </c>
      <c r="N160">
        <v>0.24402043317385325</v>
      </c>
      <c r="O160">
        <v>0</v>
      </c>
      <c r="P160">
        <v>19.420903954802458</v>
      </c>
      <c r="U160">
        <v>2.258160178186289</v>
      </c>
      <c r="V160">
        <v>-5.0658640210621968</v>
      </c>
    </row>
    <row r="161" spans="1:22" x14ac:dyDescent="0.2">
      <c r="A161">
        <v>151</v>
      </c>
      <c r="B161">
        <v>2141.5</v>
      </c>
      <c r="C161">
        <v>0.72</v>
      </c>
      <c r="D161">
        <v>235.05</v>
      </c>
      <c r="E161">
        <v>14.170000000000073</v>
      </c>
      <c r="F161">
        <v>2141.3785147757603</v>
      </c>
      <c r="G161">
        <v>2.1527136127983177</v>
      </c>
      <c r="H161">
        <v>2.1527136127983191</v>
      </c>
      <c r="I161" t="str">
        <v>N</v>
      </c>
      <c r="J161">
        <v>5.2092809263818785</v>
      </c>
      <c r="K161" t="str">
        <v>W</v>
      </c>
      <c r="L161">
        <v>5.6365577854478914</v>
      </c>
      <c r="M161">
        <v>292.45265678535458</v>
      </c>
      <c r="N161">
        <v>0.24384822397612624</v>
      </c>
      <c r="O161">
        <v>0</v>
      </c>
      <c r="P161">
        <v>19.407198306280776</v>
      </c>
      <c r="U161">
        <v>2.1527136127983191</v>
      </c>
      <c r="V161">
        <v>-5.2092809263818785</v>
      </c>
    </row>
    <row r="162" spans="1:22" x14ac:dyDescent="0.2">
      <c r="A162">
        <v>152</v>
      </c>
      <c r="B162">
        <v>2155.67</v>
      </c>
      <c r="C162">
        <v>0.72</v>
      </c>
      <c r="D162">
        <v>237.78</v>
      </c>
      <c r="E162">
        <v>14.170000000000073</v>
      </c>
      <c r="F162">
        <v>2155.5473959721285</v>
      </c>
      <c r="G162">
        <v>2.0542430611641249</v>
      </c>
      <c r="H162">
        <v>2.0542430611641276</v>
      </c>
      <c r="I162" t="str">
        <v>N</v>
      </c>
      <c r="J162">
        <v>5.3575752346856547</v>
      </c>
      <c r="K162" t="str">
        <v>W</v>
      </c>
      <c r="L162">
        <v>5.7379026612219564</v>
      </c>
      <c r="M162">
        <v>290.97821027636274</v>
      </c>
      <c r="N162">
        <v>0.2420751190935454</v>
      </c>
      <c r="O162">
        <v>0</v>
      </c>
      <c r="P162">
        <v>19.26605504587139</v>
      </c>
      <c r="U162">
        <v>2.0542430611641276</v>
      </c>
      <c r="V162">
        <v>-5.3575752346856547</v>
      </c>
    </row>
    <row r="163" spans="1:22" x14ac:dyDescent="0.2">
      <c r="A163">
        <v>153</v>
      </c>
      <c r="B163">
        <v>2169.83</v>
      </c>
      <c r="C163">
        <v>0.72</v>
      </c>
      <c r="D163">
        <v>240.48</v>
      </c>
      <c r="E163">
        <v>14.159999999999854</v>
      </c>
      <c r="F163">
        <v>2169.7062779580542</v>
      </c>
      <c r="G163">
        <v>1.9629713312474317</v>
      </c>
      <c r="H163">
        <v>1.9629713312474333</v>
      </c>
      <c r="I163" t="str">
        <v>N</v>
      </c>
      <c r="J163">
        <v>5.5102605520986412</v>
      </c>
      <c r="K163" t="str">
        <v>W</v>
      </c>
      <c r="L163">
        <v>5.8494638899059579</v>
      </c>
      <c r="M163">
        <v>289.607896966309</v>
      </c>
      <c r="N163">
        <v>0.23958452661597271</v>
      </c>
      <c r="O163">
        <v>0</v>
      </c>
      <c r="P163">
        <v>19.067796610169605</v>
      </c>
      <c r="U163">
        <v>1.9629713312474333</v>
      </c>
      <c r="V163">
        <v>-5.5102605520986412</v>
      </c>
    </row>
    <row r="164" spans="1:22" x14ac:dyDescent="0.2">
      <c r="A164">
        <v>154</v>
      </c>
      <c r="B164">
        <v>2184</v>
      </c>
      <c r="C164">
        <v>0.73</v>
      </c>
      <c r="D164">
        <v>243.15</v>
      </c>
      <c r="E164">
        <v>14.170000000000073</v>
      </c>
      <c r="F164">
        <v>2183.8751435077852</v>
      </c>
      <c r="G164">
        <v>1.8783340271627333</v>
      </c>
      <c r="H164">
        <v>1.8783340271627349</v>
      </c>
      <c r="I164" t="str">
        <v>N</v>
      </c>
      <c r="J164">
        <v>5.6682687244084029</v>
      </c>
      <c r="K164" t="str">
        <v>W</v>
      </c>
      <c r="L164">
        <v>5.9713825074017697</v>
      </c>
      <c r="M164">
        <v>288.33401030073787</v>
      </c>
      <c r="N164">
        <v>0.24862043641148637</v>
      </c>
      <c r="O164">
        <v>7.0571630204657426E-2</v>
      </c>
      <c r="P164">
        <v>18.84262526464363</v>
      </c>
      <c r="U164">
        <v>1.8783340271627349</v>
      </c>
      <c r="V164">
        <v>-5.6682687244084029</v>
      </c>
    </row>
    <row r="165" spans="1:22" x14ac:dyDescent="0.2">
      <c r="A165">
        <v>155</v>
      </c>
      <c r="B165">
        <v>2198.17</v>
      </c>
      <c r="C165">
        <v>0.76</v>
      </c>
      <c r="D165">
        <v>244.14</v>
      </c>
      <c r="E165">
        <v>14.170000000000073</v>
      </c>
      <c r="F165">
        <v>2198.0439451761467</v>
      </c>
      <c r="G165">
        <v>1.7965744687044092</v>
      </c>
      <c r="H165">
        <v>1.7965744687044096</v>
      </c>
      <c r="I165" t="str">
        <v>N</v>
      </c>
      <c r="J165">
        <v>5.8333697928905215</v>
      </c>
      <c r="K165" t="str">
        <v>W</v>
      </c>
      <c r="L165">
        <v>6.1037597398823076</v>
      </c>
      <c r="M165">
        <v>287.11790447830066</v>
      </c>
      <c r="N165">
        <v>0.23037342680395279</v>
      </c>
      <c r="O165">
        <v>0.21171489061397228</v>
      </c>
      <c r="P165">
        <v>6.9865913902609433</v>
      </c>
      <c r="U165">
        <v>1.7965744687044096</v>
      </c>
      <c r="V165">
        <v>-5.8333697928905215</v>
      </c>
    </row>
    <row r="166" spans="1:22" x14ac:dyDescent="0.2">
      <c r="A166">
        <v>156</v>
      </c>
      <c r="B166">
        <v>2212.33</v>
      </c>
      <c r="C166">
        <v>0.8</v>
      </c>
      <c r="D166">
        <v>245.04</v>
      </c>
      <c r="E166">
        <v>14.159999999999854</v>
      </c>
      <c r="F166">
        <v>2212.2026322028082</v>
      </c>
      <c r="G166">
        <v>1.7138992286601449</v>
      </c>
      <c r="H166">
        <v>1.7138992286601509</v>
      </c>
      <c r="I166" t="str">
        <v>N</v>
      </c>
      <c r="J166">
        <v>6.0074955067856211</v>
      </c>
      <c r="K166" t="str">
        <v>W</v>
      </c>
      <c r="L166">
        <v>6.2471955972301112</v>
      </c>
      <c r="M166">
        <v>285.92310206251398</v>
      </c>
      <c r="N166">
        <v>0.29543127653982554</v>
      </c>
      <c r="O166">
        <v>0.28248587570621786</v>
      </c>
      <c r="P166">
        <v>6.3559322033899361</v>
      </c>
      <c r="U166">
        <v>1.7138992286601509</v>
      </c>
      <c r="V166">
        <v>-6.0074955067856211</v>
      </c>
    </row>
    <row r="167" spans="1:22" x14ac:dyDescent="0.2">
      <c r="A167">
        <v>157</v>
      </c>
      <c r="B167">
        <v>2226.5</v>
      </c>
      <c r="C167">
        <v>0.84</v>
      </c>
      <c r="D167">
        <v>245.86</v>
      </c>
      <c r="E167">
        <v>14.170000000000073</v>
      </c>
      <c r="F167">
        <v>2226.371180181005</v>
      </c>
      <c r="G167">
        <v>1.6296769945068839</v>
      </c>
      <c r="H167">
        <v>1.6296769945068841</v>
      </c>
      <c r="I167" t="str">
        <v>N</v>
      </c>
      <c r="J167">
        <v>6.1919629423646443</v>
      </c>
      <c r="K167" t="str">
        <v>W</v>
      </c>
      <c r="L167">
        <v>6.4028315756422964</v>
      </c>
      <c r="M167">
        <v>284.74540665054423</v>
      </c>
      <c r="N167">
        <v>0.29417710143990639</v>
      </c>
      <c r="O167">
        <v>0.28228652081862893</v>
      </c>
      <c r="P167">
        <v>5.786873676782057</v>
      </c>
      <c r="U167">
        <v>1.6296769945068841</v>
      </c>
      <c r="V167">
        <v>-6.1919629423646443</v>
      </c>
    </row>
    <row r="168" spans="1:22" x14ac:dyDescent="0.2">
      <c r="A168">
        <v>158</v>
      </c>
      <c r="B168">
        <v>2240.67</v>
      </c>
      <c r="C168">
        <v>0.87</v>
      </c>
      <c r="D168">
        <v>246.62</v>
      </c>
      <c r="E168">
        <v>14.170000000000073</v>
      </c>
      <c r="F168">
        <v>2240.5396020160424</v>
      </c>
      <c r="G168">
        <v>1.5445088757586649</v>
      </c>
      <c r="H168">
        <v>1.5445088757586634</v>
      </c>
      <c r="I168" t="str">
        <v>N</v>
      </c>
      <c r="J168">
        <v>6.3854916693489017</v>
      </c>
      <c r="K168" t="str">
        <v>W</v>
      </c>
      <c r="L168">
        <v>6.569627959528721</v>
      </c>
      <c r="M168">
        <v>283.59742187492913</v>
      </c>
      <c r="N168">
        <v>0.22633265353183477</v>
      </c>
      <c r="O168">
        <v>0.21171489061397228</v>
      </c>
      <c r="P168">
        <v>5.3634438955538961</v>
      </c>
      <c r="U168">
        <v>1.5445088757586634</v>
      </c>
      <c r="V168">
        <v>-6.3854916693489017</v>
      </c>
    </row>
    <row r="169" spans="1:22" x14ac:dyDescent="0.2">
      <c r="A169">
        <v>159</v>
      </c>
      <c r="B169">
        <v>2254.83</v>
      </c>
      <c r="C169">
        <v>0.91</v>
      </c>
      <c r="D169">
        <v>247.32</v>
      </c>
      <c r="E169">
        <v>14.159999999999854</v>
      </c>
      <c r="F169">
        <v>2254.6978928726148</v>
      </c>
      <c r="G169">
        <v>1.4584931003080055</v>
      </c>
      <c r="H169">
        <v>1.4584931003080079</v>
      </c>
      <c r="I169" t="str">
        <v>N</v>
      </c>
      <c r="J169">
        <v>6.5879146715814434</v>
      </c>
      <c r="K169" t="str">
        <v>W</v>
      </c>
      <c r="L169">
        <v>6.7474307587172841</v>
      </c>
      <c r="M169">
        <v>282.48331660582687</v>
      </c>
      <c r="N169">
        <v>0.29273090238976052</v>
      </c>
      <c r="O169">
        <v>0.28248587570621786</v>
      </c>
      <c r="P169">
        <v>4.9435028248587276</v>
      </c>
      <c r="U169">
        <v>1.4584931003080079</v>
      </c>
      <c r="V169">
        <v>-6.5879146715814434</v>
      </c>
    </row>
    <row r="170" spans="1:22" x14ac:dyDescent="0.2">
      <c r="A170">
        <v>160</v>
      </c>
      <c r="B170">
        <v>2269</v>
      </c>
      <c r="C170">
        <v>0.94</v>
      </c>
      <c r="D170">
        <v>247.97</v>
      </c>
      <c r="E170">
        <v>14.170000000000073</v>
      </c>
      <c r="F170">
        <v>2268.8660458049753</v>
      </c>
      <c r="G170">
        <v>1.3715084441293683</v>
      </c>
      <c r="H170">
        <v>1.3715084441293748</v>
      </c>
      <c r="I170" t="str">
        <v>N</v>
      </c>
      <c r="J170">
        <v>6.7994819416136547</v>
      </c>
      <c r="K170" t="str">
        <v>W</v>
      </c>
      <c r="L170">
        <v>6.936424877892672</v>
      </c>
      <c r="M170">
        <v>281.40398697530702</v>
      </c>
      <c r="N170">
        <v>0.22428902859605204</v>
      </c>
      <c r="O170">
        <v>0.2117148906139715</v>
      </c>
      <c r="P170">
        <v>4.5871559633027692</v>
      </c>
      <c r="U170">
        <v>1.3715084441293748</v>
      </c>
      <c r="V170">
        <v>-6.7994819416136547</v>
      </c>
    </row>
    <row r="171" spans="1:22" x14ac:dyDescent="0.2">
      <c r="A171">
        <v>161</v>
      </c>
      <c r="B171">
        <v>2283.17</v>
      </c>
      <c r="C171">
        <v>0.95</v>
      </c>
      <c r="D171">
        <v>247.79</v>
      </c>
      <c r="E171">
        <v>14.170000000000073</v>
      </c>
      <c r="F171">
        <v>2283.0341184552867</v>
      </c>
      <c r="G171">
        <v>1.2835074394305888</v>
      </c>
      <c r="H171">
        <v>1.2835074394305872</v>
      </c>
      <c r="I171" t="str">
        <v>N</v>
      </c>
      <c r="J171">
        <v>7.0159802899328945</v>
      </c>
      <c r="K171" t="str">
        <v>W</v>
      </c>
      <c r="L171">
        <v>7.132416895821537</v>
      </c>
      <c r="M171">
        <v>280.36708444424602</v>
      </c>
      <c r="N171">
        <v>7.3615631675341006E-2</v>
      </c>
      <c r="O171">
        <v>7.0571630204657426E-2</v>
      </c>
      <c r="P171">
        <v>-1.2702893436838807</v>
      </c>
      <c r="U171">
        <v>1.2835074394305872</v>
      </c>
      <c r="V171">
        <v>-7.0159802899328945</v>
      </c>
    </row>
    <row r="172" spans="1:22" x14ac:dyDescent="0.2">
      <c r="A172">
        <v>162</v>
      </c>
      <c r="B172">
        <v>2297.33</v>
      </c>
      <c r="C172">
        <v>0.96</v>
      </c>
      <c r="D172">
        <v>247.63</v>
      </c>
      <c r="E172">
        <v>14.159999999999854</v>
      </c>
      <c r="F172">
        <v>2297.1921514905025</v>
      </c>
      <c r="G172">
        <v>1.1939899390263267</v>
      </c>
      <c r="H172">
        <v>1.193989939026324</v>
      </c>
      <c r="I172" t="str">
        <v>N</v>
      </c>
      <c r="J172">
        <v>7.2343505153266809</v>
      </c>
      <c r="K172" t="str">
        <v>W</v>
      </c>
      <c r="L172">
        <v>7.3322192652091012</v>
      </c>
      <c r="M172">
        <v>279.37186851842478</v>
      </c>
      <c r="N172">
        <v>7.3089399326134438E-2</v>
      </c>
      <c r="O172">
        <v>7.0621468926554465E-2</v>
      </c>
      <c r="P172">
        <v>-1.1299435028248463</v>
      </c>
      <c r="U172">
        <v>1.193989939026324</v>
      </c>
      <c r="V172">
        <v>-7.2343505153266809</v>
      </c>
    </row>
    <row r="173" spans="1:22" x14ac:dyDescent="0.2">
      <c r="A173">
        <v>163</v>
      </c>
      <c r="B173">
        <v>2311.5</v>
      </c>
      <c r="C173">
        <v>0.97</v>
      </c>
      <c r="D173">
        <v>247.46</v>
      </c>
      <c r="E173">
        <v>14.170000000000073</v>
      </c>
      <c r="F173">
        <v>2311.3601417008413</v>
      </c>
      <c r="G173">
        <v>1.1028357007786951</v>
      </c>
      <c r="H173">
        <v>1.1028357007786957</v>
      </c>
      <c r="I173" t="str">
        <v>N</v>
      </c>
      <c r="J173">
        <v>7.4549013035083638</v>
      </c>
      <c r="K173" t="str">
        <v>W</v>
      </c>
      <c r="L173">
        <v>7.5360334412715249</v>
      </c>
      <c r="M173">
        <v>278.41497991018571</v>
      </c>
      <c r="N173">
        <v>7.3407042764472824E-2</v>
      </c>
      <c r="O173">
        <v>7.0571630204657426E-2</v>
      </c>
      <c r="P173">
        <v>-1.1997177134790871</v>
      </c>
      <c r="U173">
        <v>1.1028357007786957</v>
      </c>
      <c r="V173">
        <v>-7.4549013035083638</v>
      </c>
    </row>
    <row r="174" spans="1:22" x14ac:dyDescent="0.2">
      <c r="A174">
        <v>164</v>
      </c>
      <c r="B174">
        <v>2325.67</v>
      </c>
      <c r="C174">
        <v>0.98</v>
      </c>
      <c r="D174">
        <v>247.3</v>
      </c>
      <c r="E174">
        <v>14.170000000000073</v>
      </c>
      <c r="F174">
        <v>2325.5280900438202</v>
      </c>
      <c r="G174">
        <v>1.0100957162020667</v>
      </c>
      <c r="H174">
        <v>1.0100957162020718</v>
      </c>
      <c r="I174" t="str">
        <v>N</v>
      </c>
      <c r="J174">
        <v>7.6774713003720434</v>
      </c>
      <c r="K174" t="str">
        <v>W</v>
      </c>
      <c r="L174">
        <v>7.7436334445740762</v>
      </c>
      <c r="M174">
        <v>277.49513963625805</v>
      </c>
      <c r="N174">
        <v>7.3140355244646821E-2</v>
      </c>
      <c r="O174">
        <v>7.0571630204657426E-2</v>
      </c>
      <c r="P174">
        <v>-1.1291460832744937</v>
      </c>
      <c r="U174">
        <v>1.0100957162020718</v>
      </c>
      <c r="V174">
        <v>-7.6774713003720434</v>
      </c>
    </row>
    <row r="175" spans="1:22" x14ac:dyDescent="0.2">
      <c r="A175">
        <v>165</v>
      </c>
      <c r="B175">
        <v>2339.83</v>
      </c>
      <c r="C175">
        <v>0.99</v>
      </c>
      <c r="D175">
        <v>247.14</v>
      </c>
      <c r="E175">
        <v>14.159999999999854</v>
      </c>
      <c r="F175">
        <v>2339.685997565598</v>
      </c>
      <c r="G175">
        <v>0.91584368340255851</v>
      </c>
      <c r="H175">
        <v>0.91584368340256406</v>
      </c>
      <c r="I175" t="str">
        <v>N</v>
      </c>
      <c r="J175">
        <v>7.9019028414799566</v>
      </c>
      <c r="K175" t="str">
        <v>W</v>
      </c>
      <c r="L175">
        <v>7.9547996938085994</v>
      </c>
      <c r="M175">
        <v>276.61117837170514</v>
      </c>
      <c r="N175">
        <v>7.324405426328319E-2</v>
      </c>
      <c r="O175">
        <v>7.0621468926554465E-2</v>
      </c>
      <c r="P175">
        <v>-1.1299435028250471</v>
      </c>
      <c r="U175">
        <v>0.91584368340256406</v>
      </c>
      <c r="V175">
        <v>-7.9019028414799566</v>
      </c>
    </row>
    <row r="176" spans="1:22" x14ac:dyDescent="0.2">
      <c r="A176">
        <v>166</v>
      </c>
      <c r="B176">
        <v>2354</v>
      </c>
      <c r="C176">
        <v>1</v>
      </c>
      <c r="D176">
        <v>246.99</v>
      </c>
      <c r="E176">
        <v>14.170000000000073</v>
      </c>
      <c r="F176">
        <v>2353.8538608791182</v>
      </c>
      <c r="G176">
        <v>0.8199543464219794</v>
      </c>
      <c r="H176">
        <v>0.81995434642197962</v>
      </c>
      <c r="I176" t="str">
        <v>N</v>
      </c>
      <c r="J176">
        <v>8.1285142525430985</v>
      </c>
      <c r="K176" t="str">
        <v>W</v>
      </c>
      <c r="L176">
        <v>8.169765546453128</v>
      </c>
      <c r="M176">
        <v>275.76015976845218</v>
      </c>
      <c r="N176">
        <v>7.2926370148232722E-2</v>
      </c>
      <c r="O176">
        <v>7.0571630204657426E-2</v>
      </c>
      <c r="P176">
        <v>-1.0585744530697001</v>
      </c>
      <c r="U176">
        <v>0.81995434642197962</v>
      </c>
      <c r="V176">
        <v>-8.1285142525430985</v>
      </c>
    </row>
    <row r="177" spans="1:22" x14ac:dyDescent="0.2">
      <c r="A177">
        <v>167</v>
      </c>
      <c r="B177">
        <v>2369</v>
      </c>
      <c r="C177">
        <v>0.94</v>
      </c>
      <c r="D177">
        <v>246.52</v>
      </c>
      <c r="E177">
        <v>15</v>
      </c>
      <c r="F177">
        <v>2368.8517092656102</v>
      </c>
      <c r="G177">
        <v>0.71976655738326634</v>
      </c>
      <c r="H177">
        <v>0.71976655738326534</v>
      </c>
      <c r="I177" t="str">
        <v>N</v>
      </c>
      <c r="J177">
        <v>8.3618453777691641</v>
      </c>
      <c r="K177" t="str">
        <v>W</v>
      </c>
      <c r="L177">
        <v>8.3927660529081169</v>
      </c>
      <c r="M177">
        <v>274.91974940110453</v>
      </c>
      <c r="N177">
        <v>0.40349837927218768</v>
      </c>
      <c r="O177">
        <v>-0.40000000000000036</v>
      </c>
      <c r="P177">
        <v>-3.1333333333333258</v>
      </c>
      <c r="U177">
        <v>0.71976655738326534</v>
      </c>
      <c r="V177">
        <v>-8.3618453777691641</v>
      </c>
    </row>
    <row r="178" spans="1:22" x14ac:dyDescent="0.2">
      <c r="A178">
        <v>168</v>
      </c>
      <c r="B178">
        <v>2384</v>
      </c>
      <c r="C178">
        <v>0.89</v>
      </c>
      <c r="D178">
        <v>246.11</v>
      </c>
      <c r="E178">
        <v>15</v>
      </c>
      <c r="F178">
        <v>2383.8497951286545</v>
      </c>
      <c r="G178">
        <v>0.62356498323846488</v>
      </c>
      <c r="H178">
        <v>0.6235649832384641</v>
      </c>
      <c r="I178" t="str">
        <v>N</v>
      </c>
      <c r="J178">
        <v>8.5812129485081723</v>
      </c>
      <c r="K178" t="str">
        <v>W</v>
      </c>
      <c r="L178">
        <v>8.6038391986348461</v>
      </c>
      <c r="M178">
        <v>274.15616710447472</v>
      </c>
      <c r="N178">
        <v>0.33617688966496573</v>
      </c>
      <c r="O178">
        <v>-0.33333333333333293</v>
      </c>
      <c r="P178">
        <v>-2.7333333333333107</v>
      </c>
      <c r="U178">
        <v>0.6235649832384641</v>
      </c>
      <c r="V178">
        <v>-8.5812129485081723</v>
      </c>
    </row>
    <row r="179" spans="1:22" x14ac:dyDescent="0.2">
      <c r="A179">
        <v>169</v>
      </c>
      <c r="B179">
        <v>2399</v>
      </c>
      <c r="C179">
        <v>0.84</v>
      </c>
      <c r="D179">
        <v>245.64</v>
      </c>
      <c r="E179">
        <v>15</v>
      </c>
      <c r="F179">
        <v>2398.848084315624</v>
      </c>
      <c r="G179">
        <v>0.53103451999518514</v>
      </c>
      <c r="H179">
        <v>0.53103451999518647</v>
      </c>
      <c r="I179" t="str">
        <v>N</v>
      </c>
      <c r="J179">
        <v>8.7878911492936105</v>
      </c>
      <c r="K179" t="str">
        <v>W</v>
      </c>
      <c r="L179">
        <v>8.8039212009910379</v>
      </c>
      <c r="M179">
        <v>273.45806328393218</v>
      </c>
      <c r="N179">
        <v>0.33667009200456754</v>
      </c>
      <c r="O179">
        <v>-0.33333333333333365</v>
      </c>
      <c r="P179">
        <v>-3.1333333333335154</v>
      </c>
      <c r="U179">
        <v>0.53103451999518647</v>
      </c>
      <c r="V179">
        <v>-8.7878911492936105</v>
      </c>
    </row>
    <row r="180" spans="1:22" x14ac:dyDescent="0.2">
      <c r="A180">
        <v>170</v>
      </c>
      <c r="B180">
        <v>2414</v>
      </c>
      <c r="C180">
        <v>0.79</v>
      </c>
      <c r="D180">
        <v>245.12</v>
      </c>
      <c r="E180">
        <v>15</v>
      </c>
      <c r="F180">
        <v>2413.8465654046686</v>
      </c>
      <c r="G180">
        <v>0.44217734881529031</v>
      </c>
      <c r="H180">
        <v>0.44217734881529497</v>
      </c>
      <c r="I180" t="str">
        <v>N</v>
      </c>
      <c r="J180">
        <v>8.9818644757184458</v>
      </c>
      <c r="K180" t="str">
        <v>W</v>
      </c>
      <c r="L180">
        <v>8.9927420883720615</v>
      </c>
      <c r="M180">
        <v>272.818396836212</v>
      </c>
      <c r="N180">
        <v>0.33695734726725884</v>
      </c>
      <c r="O180">
        <v>-0.33333333333333293</v>
      </c>
      <c r="P180">
        <v>-3.4666666666665455</v>
      </c>
      <c r="U180">
        <v>0.44217734881529497</v>
      </c>
      <c r="V180">
        <v>-8.9818644757184458</v>
      </c>
    </row>
    <row r="181" spans="1:22" x14ac:dyDescent="0.2">
      <c r="A181">
        <v>171</v>
      </c>
      <c r="B181">
        <v>2429</v>
      </c>
      <c r="C181">
        <v>0.74</v>
      </c>
      <c r="D181">
        <v>244.52</v>
      </c>
      <c r="E181">
        <v>15</v>
      </c>
      <c r="F181">
        <v>2428.8452269737932</v>
      </c>
      <c r="G181">
        <v>0.35700172837703315</v>
      </c>
      <c r="H181">
        <v>0.35700172837703237</v>
      </c>
      <c r="I181" t="str">
        <v>N</v>
      </c>
      <c r="J181">
        <v>9.1631165469482241</v>
      </c>
      <c r="K181" t="str">
        <v>W</v>
      </c>
      <c r="L181">
        <v>9.1700684341514336</v>
      </c>
      <c r="M181">
        <v>272.23115704903017</v>
      </c>
      <c r="N181">
        <v>0.33757989491657098</v>
      </c>
      <c r="O181">
        <v>-0.33333333333333365</v>
      </c>
      <c r="P181">
        <v>-3.9999999999999623</v>
      </c>
      <c r="U181">
        <v>0.35700172837703237</v>
      </c>
      <c r="V181">
        <v>-9.1631165469482241</v>
      </c>
    </row>
    <row r="182" spans="1:22" x14ac:dyDescent="0.2">
      <c r="A182" t="str">
        <v>Proj.</v>
      </c>
      <c r="B182">
        <v>2515</v>
      </c>
      <c r="C182">
        <v>0.74</v>
      </c>
      <c r="D182">
        <v>244.52</v>
      </c>
      <c r="E182">
        <v>86</v>
      </c>
      <c r="F182">
        <v>2514.8380543080389</v>
      </c>
      <c r="G182">
        <v>-0.12081554030195628</v>
      </c>
      <c r="H182">
        <v>0.12081554030195418</v>
      </c>
      <c r="I182" t="str">
        <v>S</v>
      </c>
      <c r="J182">
        <v>10.165781855190325</v>
      </c>
      <c r="K182" t="str">
        <v>W</v>
      </c>
      <c r="L182">
        <v>10.166499747803828</v>
      </c>
      <c r="M182">
        <v>269.31909864069235</v>
      </c>
      <c r="N182">
        <v>0</v>
      </c>
      <c r="O182">
        <v>0</v>
      </c>
      <c r="P182">
        <v>0</v>
      </c>
      <c r="U182">
        <v>-0.12081554030195418</v>
      </c>
      <c r="V182">
        <v>-10.165781855190325</v>
      </c>
    </row>
    <row r="183" spans="1:22" x14ac:dyDescent="0.2">
      <c r="A183" t="str">
        <v/>
      </c>
      <c r="B183">
        <v>0</v>
      </c>
      <c r="C183">
        <v>0</v>
      </c>
      <c r="D183">
        <v>0</v>
      </c>
      <c r="E183" t="str">
        <v/>
      </c>
      <c r="F183" t="str">
        <v/>
      </c>
      <c r="G183" t="str">
        <v/>
      </c>
      <c r="H183" t="str">
        <v/>
      </c>
      <c r="I183" t="str">
        <v/>
      </c>
      <c r="J183" t="str">
        <v/>
      </c>
      <c r="K183" t="str">
        <v/>
      </c>
      <c r="L183" t="str">
        <v/>
      </c>
      <c r="M183" t="str">
        <v/>
      </c>
      <c r="N183" t="str">
        <v/>
      </c>
      <c r="O183" t="str">
        <v/>
      </c>
      <c r="P183" t="str">
        <v/>
      </c>
      <c r="U183" t="e">
        <v>#VALUE!</v>
      </c>
      <c r="V183" t="e">
        <v>#VALUE!</v>
      </c>
    </row>
    <row r="184" spans="1:22" x14ac:dyDescent="0.2">
      <c r="A184" t="str">
        <v/>
      </c>
      <c r="B184">
        <v>0</v>
      </c>
      <c r="C184">
        <v>0</v>
      </c>
      <c r="D184">
        <v>0</v>
      </c>
      <c r="E184" t="str">
        <v/>
      </c>
      <c r="F184" t="str">
        <v/>
      </c>
      <c r="G184" t="str">
        <v/>
      </c>
      <c r="H184" t="str">
        <v/>
      </c>
      <c r="I184" t="str">
        <v/>
      </c>
      <c r="J184" t="str">
        <v/>
      </c>
      <c r="K184" t="str">
        <v/>
      </c>
      <c r="L184" t="str">
        <v/>
      </c>
      <c r="M184" t="str">
        <v/>
      </c>
      <c r="N184" t="str">
        <v/>
      </c>
      <c r="O184" t="str">
        <v/>
      </c>
      <c r="P184" t="str">
        <v/>
      </c>
      <c r="U184" t="e">
        <v>#VALUE!</v>
      </c>
      <c r="V184" t="e">
        <v>#VALUE!</v>
      </c>
    </row>
    <row r="185" spans="1:22" x14ac:dyDescent="0.2">
      <c r="A185" t="str">
        <v/>
      </c>
      <c r="B185">
        <v>0</v>
      </c>
      <c r="C185">
        <v>0</v>
      </c>
      <c r="D185">
        <v>0</v>
      </c>
      <c r="E185" t="str">
        <v/>
      </c>
      <c r="F185" t="str">
        <v/>
      </c>
      <c r="G185" t="str">
        <v/>
      </c>
      <c r="H185" t="str">
        <v/>
      </c>
      <c r="I185" t="str">
        <v/>
      </c>
      <c r="J185" t="str">
        <v/>
      </c>
      <c r="K185" t="str">
        <v/>
      </c>
      <c r="L185" t="str">
        <v/>
      </c>
      <c r="M185" t="str">
        <v/>
      </c>
      <c r="N185" t="str">
        <v/>
      </c>
      <c r="O185" t="str">
        <v/>
      </c>
      <c r="P185" t="str">
        <v/>
      </c>
      <c r="U185" t="e">
        <v>#VALUE!</v>
      </c>
      <c r="V185" t="e">
        <v>#VALUE!</v>
      </c>
    </row>
    <row r="186" spans="1:22" x14ac:dyDescent="0.2">
      <c r="A186" t="str">
        <v/>
      </c>
      <c r="B186">
        <v>0</v>
      </c>
      <c r="C186">
        <v>0</v>
      </c>
      <c r="D186">
        <v>0</v>
      </c>
      <c r="E186" t="str">
        <v/>
      </c>
      <c r="F186" t="str">
        <v/>
      </c>
      <c r="G186" t="str">
        <v/>
      </c>
      <c r="H186" t="str">
        <v/>
      </c>
      <c r="I186" t="str">
        <v/>
      </c>
      <c r="J186" t="str">
        <v/>
      </c>
      <c r="K186" t="str">
        <v/>
      </c>
      <c r="L186" t="str">
        <v/>
      </c>
      <c r="M186" t="str">
        <v/>
      </c>
      <c r="N186" t="str">
        <v/>
      </c>
      <c r="O186" t="str">
        <v/>
      </c>
      <c r="P186" t="str">
        <v/>
      </c>
      <c r="U186" t="e">
        <v>#VALUE!</v>
      </c>
      <c r="V186" t="e">
        <v>#VALUE!</v>
      </c>
    </row>
    <row r="187" spans="1:22" x14ac:dyDescent="0.2">
      <c r="A187" t="str">
        <v/>
      </c>
      <c r="B187">
        <v>0</v>
      </c>
      <c r="C187">
        <v>0</v>
      </c>
      <c r="D187">
        <v>0</v>
      </c>
      <c r="E187" t="str">
        <v/>
      </c>
      <c r="F187" t="str">
        <v/>
      </c>
      <c r="G187" t="str">
        <v/>
      </c>
      <c r="H187" t="str">
        <v/>
      </c>
      <c r="I187" t="str">
        <v/>
      </c>
      <c r="J187" t="str">
        <v/>
      </c>
      <c r="K187" t="str">
        <v/>
      </c>
      <c r="L187" t="str">
        <v/>
      </c>
      <c r="M187" t="str">
        <v/>
      </c>
      <c r="N187" t="str">
        <v/>
      </c>
      <c r="O187" t="str">
        <v/>
      </c>
      <c r="P187" t="str">
        <v/>
      </c>
      <c r="U187" t="e">
        <v>#VALUE!</v>
      </c>
      <c r="V187" t="e">
        <v>#VALUE!</v>
      </c>
    </row>
    <row r="188" spans="1:22" x14ac:dyDescent="0.2">
      <c r="A188" t="str">
        <v/>
      </c>
      <c r="B188">
        <v>0</v>
      </c>
      <c r="C188">
        <v>0</v>
      </c>
      <c r="D188">
        <v>0</v>
      </c>
      <c r="E188" t="str">
        <v/>
      </c>
      <c r="F188" t="str">
        <v/>
      </c>
      <c r="G188" t="str">
        <v/>
      </c>
      <c r="H188" t="str">
        <v/>
      </c>
      <c r="I188" t="str">
        <v/>
      </c>
      <c r="J188" t="str">
        <v/>
      </c>
      <c r="K188" t="str">
        <v/>
      </c>
      <c r="L188" t="str">
        <v/>
      </c>
      <c r="M188" t="str">
        <v/>
      </c>
      <c r="N188" t="str">
        <v/>
      </c>
      <c r="O188" t="str">
        <v/>
      </c>
      <c r="P188" t="str">
        <v/>
      </c>
      <c r="U188" t="e">
        <v>#VALUE!</v>
      </c>
      <c r="V188" t="e">
        <v>#VALUE!</v>
      </c>
    </row>
    <row r="189" spans="1:22" x14ac:dyDescent="0.2">
      <c r="A189" t="str">
        <v/>
      </c>
      <c r="B189">
        <v>0</v>
      </c>
      <c r="C189">
        <v>0</v>
      </c>
      <c r="D189">
        <v>0</v>
      </c>
      <c r="E189" t="str">
        <v/>
      </c>
      <c r="F189" t="str">
        <v/>
      </c>
      <c r="G189" t="str">
        <v/>
      </c>
      <c r="H189" t="str">
        <v/>
      </c>
      <c r="I189" t="str">
        <v/>
      </c>
      <c r="J189" t="str">
        <v/>
      </c>
      <c r="K189" t="str">
        <v/>
      </c>
      <c r="L189" t="str">
        <v/>
      </c>
      <c r="M189" t="str">
        <v/>
      </c>
      <c r="N189" t="str">
        <v/>
      </c>
      <c r="O189" t="str">
        <v/>
      </c>
      <c r="P189" t="str">
        <v/>
      </c>
      <c r="U189" t="e">
        <v>#VALUE!</v>
      </c>
      <c r="V189" t="e">
        <v>#VALUE!</v>
      </c>
    </row>
    <row r="190" spans="1:22" x14ac:dyDescent="0.2">
      <c r="A190" t="str">
        <v/>
      </c>
      <c r="B190">
        <v>0</v>
      </c>
      <c r="C190">
        <v>0</v>
      </c>
      <c r="D190">
        <v>0</v>
      </c>
      <c r="E190" t="str">
        <v/>
      </c>
      <c r="F190" t="str">
        <v/>
      </c>
      <c r="G190" t="str">
        <v/>
      </c>
      <c r="H190" t="str">
        <v/>
      </c>
      <c r="I190" t="str">
        <v/>
      </c>
      <c r="J190" t="str">
        <v/>
      </c>
      <c r="K190" t="str">
        <v/>
      </c>
      <c r="L190" t="str">
        <v/>
      </c>
      <c r="M190" t="str">
        <v/>
      </c>
      <c r="N190" t="str">
        <v/>
      </c>
      <c r="O190" t="str">
        <v/>
      </c>
      <c r="P190" t="str">
        <v/>
      </c>
      <c r="U190" t="e">
        <v>#VALUE!</v>
      </c>
      <c r="V190" t="e">
        <v>#VALUE!</v>
      </c>
    </row>
    <row r="191" spans="1:22" x14ac:dyDescent="0.2">
      <c r="A191" t="str">
        <v/>
      </c>
      <c r="B191">
        <v>0</v>
      </c>
      <c r="C191">
        <v>0</v>
      </c>
      <c r="D191">
        <v>0</v>
      </c>
      <c r="E191" t="str">
        <v/>
      </c>
      <c r="F191" t="str">
        <v/>
      </c>
      <c r="G191" t="str">
        <v/>
      </c>
      <c r="H191" t="str">
        <v/>
      </c>
      <c r="I191" t="str">
        <v/>
      </c>
      <c r="J191" t="str">
        <v/>
      </c>
      <c r="K191" t="str">
        <v/>
      </c>
      <c r="L191" t="str">
        <v/>
      </c>
      <c r="M191" t="str">
        <v/>
      </c>
      <c r="N191" t="str">
        <v/>
      </c>
      <c r="O191" t="str">
        <v/>
      </c>
      <c r="P191" t="str">
        <v/>
      </c>
      <c r="U191" t="e">
        <v>#VALUE!</v>
      </c>
      <c r="V191" t="e">
        <v>#VALUE!</v>
      </c>
    </row>
    <row r="192" spans="1:22" x14ac:dyDescent="0.2">
      <c r="A192" t="str">
        <v/>
      </c>
      <c r="B192">
        <v>0</v>
      </c>
      <c r="C192">
        <v>0</v>
      </c>
      <c r="D192">
        <v>0</v>
      </c>
      <c r="E192" t="str">
        <v/>
      </c>
      <c r="F192" t="str">
        <v/>
      </c>
      <c r="G192" t="str">
        <v/>
      </c>
      <c r="H192" t="str">
        <v/>
      </c>
      <c r="I192" t="str">
        <v/>
      </c>
      <c r="J192" t="str">
        <v/>
      </c>
      <c r="K192" t="str">
        <v/>
      </c>
      <c r="L192" t="str">
        <v/>
      </c>
      <c r="M192" t="str">
        <v/>
      </c>
      <c r="N192" t="str">
        <v/>
      </c>
      <c r="O192" t="str">
        <v/>
      </c>
      <c r="P192" t="str">
        <v/>
      </c>
      <c r="U192" t="e">
        <v>#VALUE!</v>
      </c>
      <c r="V192" t="e">
        <v>#VALUE!</v>
      </c>
    </row>
    <row r="193" spans="1:22" x14ac:dyDescent="0.2">
      <c r="A193" t="str">
        <v/>
      </c>
      <c r="B193">
        <v>0</v>
      </c>
      <c r="C193">
        <v>0</v>
      </c>
      <c r="D193">
        <v>0</v>
      </c>
      <c r="E193" t="str">
        <v/>
      </c>
      <c r="F193" t="str">
        <v/>
      </c>
      <c r="G193" t="str">
        <v/>
      </c>
      <c r="H193" t="str">
        <v/>
      </c>
      <c r="I193" t="str">
        <v/>
      </c>
      <c r="J193" t="str">
        <v/>
      </c>
      <c r="K193" t="str">
        <v/>
      </c>
      <c r="L193" t="str">
        <v/>
      </c>
      <c r="M193" t="str">
        <v/>
      </c>
      <c r="N193" t="str">
        <v/>
      </c>
      <c r="O193" t="str">
        <v/>
      </c>
      <c r="P193" t="str">
        <v/>
      </c>
      <c r="U193" t="e">
        <v>#VALUE!</v>
      </c>
      <c r="V193" t="e">
        <v>#VALUE!</v>
      </c>
    </row>
    <row r="194" spans="1:22" x14ac:dyDescent="0.2">
      <c r="A194" t="str">
        <v/>
      </c>
      <c r="B194">
        <v>0</v>
      </c>
      <c r="C194">
        <v>0</v>
      </c>
      <c r="D194">
        <v>0</v>
      </c>
      <c r="E194" t="str">
        <v/>
      </c>
      <c r="F194" t="str">
        <v/>
      </c>
      <c r="G194" t="str">
        <v/>
      </c>
      <c r="H194" t="str">
        <v/>
      </c>
      <c r="I194" t="str">
        <v/>
      </c>
      <c r="J194" t="str">
        <v/>
      </c>
      <c r="K194" t="str">
        <v/>
      </c>
      <c r="L194" t="str">
        <v/>
      </c>
      <c r="M194" t="str">
        <v/>
      </c>
      <c r="N194" t="str">
        <v/>
      </c>
      <c r="O194" t="str">
        <v/>
      </c>
      <c r="P194" t="str">
        <v/>
      </c>
      <c r="U194" t="e">
        <v>#VALUE!</v>
      </c>
      <c r="V194" t="e">
        <v>#VALUE!</v>
      </c>
    </row>
    <row r="195" spans="1:22" x14ac:dyDescent="0.2">
      <c r="A195" t="str">
        <v/>
      </c>
      <c r="B195">
        <v>0</v>
      </c>
      <c r="C195">
        <v>0</v>
      </c>
      <c r="D195">
        <v>0</v>
      </c>
      <c r="E195" t="str">
        <v/>
      </c>
      <c r="F195" t="str">
        <v/>
      </c>
      <c r="G195" t="str">
        <v/>
      </c>
      <c r="H195" t="str">
        <v/>
      </c>
      <c r="I195" t="str">
        <v/>
      </c>
      <c r="J195" t="str">
        <v/>
      </c>
      <c r="K195" t="str">
        <v/>
      </c>
      <c r="L195" t="str">
        <v/>
      </c>
      <c r="M195" t="str">
        <v/>
      </c>
      <c r="N195" t="str">
        <v/>
      </c>
      <c r="O195" t="str">
        <v/>
      </c>
      <c r="P195" t="str">
        <v/>
      </c>
      <c r="U195" t="e">
        <v>#VALUE!</v>
      </c>
      <c r="V195" t="e">
        <v>#VALUE!</v>
      </c>
    </row>
    <row r="196" spans="1:22" x14ac:dyDescent="0.2">
      <c r="A196" t="str">
        <v/>
      </c>
      <c r="B196">
        <v>0</v>
      </c>
      <c r="C196">
        <v>0</v>
      </c>
      <c r="D196">
        <v>0</v>
      </c>
      <c r="E196" t="str">
        <v/>
      </c>
      <c r="F196" t="str">
        <v/>
      </c>
      <c r="G196" t="str">
        <v/>
      </c>
      <c r="H196" t="str">
        <v/>
      </c>
      <c r="I196" t="str">
        <v/>
      </c>
      <c r="J196" t="str">
        <v/>
      </c>
      <c r="K196" t="str">
        <v/>
      </c>
      <c r="L196" t="str">
        <v/>
      </c>
      <c r="M196" t="str">
        <v/>
      </c>
      <c r="N196" t="str">
        <v/>
      </c>
      <c r="O196" t="str">
        <v/>
      </c>
      <c r="P196" t="str">
        <v/>
      </c>
      <c r="U196" t="e">
        <v>#VALUE!</v>
      </c>
      <c r="V196" t="e">
        <v>#VALUE!</v>
      </c>
    </row>
    <row r="197" spans="1:22" x14ac:dyDescent="0.2">
      <c r="A197" t="str">
        <v/>
      </c>
      <c r="B197">
        <v>0</v>
      </c>
      <c r="C197">
        <v>0</v>
      </c>
      <c r="D197">
        <v>0</v>
      </c>
      <c r="E197" t="str">
        <v/>
      </c>
      <c r="F197" t="str">
        <v/>
      </c>
      <c r="G197" t="str">
        <v/>
      </c>
      <c r="H197" t="str">
        <v/>
      </c>
      <c r="I197" t="str">
        <v/>
      </c>
      <c r="J197" t="str">
        <v/>
      </c>
      <c r="K197" t="str">
        <v/>
      </c>
      <c r="L197" t="str">
        <v/>
      </c>
      <c r="M197" t="str">
        <v/>
      </c>
      <c r="N197" t="str">
        <v/>
      </c>
      <c r="O197" t="str">
        <v/>
      </c>
      <c r="P197" t="str">
        <v/>
      </c>
      <c r="U197" t="e">
        <v>#VALUE!</v>
      </c>
      <c r="V197" t="e">
        <v>#VALUE!</v>
      </c>
    </row>
    <row r="198" spans="1:22" x14ac:dyDescent="0.2">
      <c r="A198" t="str">
        <v/>
      </c>
      <c r="B198">
        <v>0</v>
      </c>
      <c r="C198">
        <v>0</v>
      </c>
      <c r="D198">
        <v>0</v>
      </c>
      <c r="E198" t="str">
        <v/>
      </c>
      <c r="F198" t="str">
        <v/>
      </c>
      <c r="G198" t="str">
        <v/>
      </c>
      <c r="H198" t="str">
        <v/>
      </c>
      <c r="I198" t="str">
        <v/>
      </c>
      <c r="J198" t="str">
        <v/>
      </c>
      <c r="K198" t="str">
        <v/>
      </c>
      <c r="L198" t="str">
        <v/>
      </c>
      <c r="M198" t="str">
        <v/>
      </c>
      <c r="N198" t="str">
        <v/>
      </c>
      <c r="O198" t="str">
        <v/>
      </c>
      <c r="P198" t="str">
        <v/>
      </c>
      <c r="U198" t="e">
        <v>#VALUE!</v>
      </c>
      <c r="V198" t="e">
        <v>#VALUE!</v>
      </c>
    </row>
    <row r="199" spans="1:22" x14ac:dyDescent="0.2">
      <c r="A199" t="str">
        <v/>
      </c>
      <c r="B199">
        <v>0</v>
      </c>
      <c r="C199">
        <v>0</v>
      </c>
      <c r="D199">
        <v>0</v>
      </c>
      <c r="E199" t="str">
        <v/>
      </c>
      <c r="F199" t="str">
        <v/>
      </c>
      <c r="G199" t="str">
        <v/>
      </c>
      <c r="H199" t="str">
        <v/>
      </c>
      <c r="I199" t="str">
        <v/>
      </c>
      <c r="J199" t="str">
        <v/>
      </c>
      <c r="K199" t="str">
        <v/>
      </c>
      <c r="L199" t="str">
        <v/>
      </c>
      <c r="M199" t="str">
        <v/>
      </c>
      <c r="N199" t="str">
        <v/>
      </c>
      <c r="O199" t="str">
        <v/>
      </c>
      <c r="P199" t="str">
        <v/>
      </c>
      <c r="U199" t="e">
        <v>#VALUE!</v>
      </c>
      <c r="V199" t="e">
        <v>#VALUE!</v>
      </c>
    </row>
    <row r="200" spans="1:22" x14ac:dyDescent="0.2">
      <c r="A200" t="str">
        <v/>
      </c>
      <c r="B200">
        <v>0</v>
      </c>
      <c r="C200">
        <v>0</v>
      </c>
      <c r="D200">
        <v>0</v>
      </c>
      <c r="E200" t="str">
        <v/>
      </c>
      <c r="F200" t="str">
        <v/>
      </c>
      <c r="G200" t="str">
        <v/>
      </c>
      <c r="H200" t="str">
        <v/>
      </c>
      <c r="I200" t="str">
        <v/>
      </c>
      <c r="J200" t="str">
        <v/>
      </c>
      <c r="K200" t="str">
        <v/>
      </c>
      <c r="L200" t="str">
        <v/>
      </c>
      <c r="M200" t="str">
        <v/>
      </c>
      <c r="N200" t="str">
        <v/>
      </c>
      <c r="O200" t="str">
        <v/>
      </c>
      <c r="P200" t="str">
        <v/>
      </c>
      <c r="U200" t="e">
        <v>#VALUE!</v>
      </c>
      <c r="V200" t="e">
        <v>#VALUE!</v>
      </c>
    </row>
    <row r="201" spans="1:22" x14ac:dyDescent="0.2">
      <c r="A201" t="str">
        <v/>
      </c>
      <c r="B201">
        <v>0</v>
      </c>
      <c r="C201">
        <v>0</v>
      </c>
      <c r="D201">
        <v>0</v>
      </c>
      <c r="E201" t="str">
        <v/>
      </c>
      <c r="F201" t="str">
        <v/>
      </c>
      <c r="G201" t="str">
        <v/>
      </c>
      <c r="H201" t="str">
        <v/>
      </c>
      <c r="I201" t="str">
        <v/>
      </c>
      <c r="J201" t="str">
        <v/>
      </c>
      <c r="K201" t="str">
        <v/>
      </c>
      <c r="L201" t="str">
        <v/>
      </c>
      <c r="M201" t="str">
        <v/>
      </c>
      <c r="N201" t="str">
        <v/>
      </c>
      <c r="O201" t="str">
        <v/>
      </c>
      <c r="P201" t="str">
        <v/>
      </c>
      <c r="U201" t="e">
        <v>#VALUE!</v>
      </c>
      <c r="V201" t="e">
        <v>#VALUE!</v>
      </c>
    </row>
    <row r="202" spans="1:22" x14ac:dyDescent="0.2">
      <c r="A202" t="str">
        <v/>
      </c>
      <c r="B202">
        <v>0</v>
      </c>
      <c r="C202">
        <v>0</v>
      </c>
      <c r="D202">
        <v>0</v>
      </c>
      <c r="E202" t="str">
        <v/>
      </c>
      <c r="F202" t="str">
        <v/>
      </c>
      <c r="G202" t="str">
        <v/>
      </c>
      <c r="H202" t="str">
        <v/>
      </c>
      <c r="I202" t="str">
        <v/>
      </c>
      <c r="J202" t="str">
        <v/>
      </c>
      <c r="K202" t="str">
        <v/>
      </c>
      <c r="L202" t="str">
        <v/>
      </c>
      <c r="M202" t="str">
        <v/>
      </c>
      <c r="N202" t="str">
        <v/>
      </c>
      <c r="O202" t="str">
        <v/>
      </c>
      <c r="P202" t="str">
        <v/>
      </c>
      <c r="U202" t="e">
        <v>#VALUE!</v>
      </c>
      <c r="V202" t="e">
        <v>#VALUE!</v>
      </c>
    </row>
    <row r="203" spans="1:22" x14ac:dyDescent="0.2">
      <c r="A203" t="str">
        <v/>
      </c>
      <c r="B203">
        <v>0</v>
      </c>
      <c r="C203">
        <v>0</v>
      </c>
      <c r="D203">
        <v>0</v>
      </c>
      <c r="E203" t="str">
        <v/>
      </c>
      <c r="F203" t="str">
        <v/>
      </c>
      <c r="G203" t="str">
        <v/>
      </c>
      <c r="H203" t="str">
        <v/>
      </c>
      <c r="I203" t="str">
        <v/>
      </c>
      <c r="J203" t="str">
        <v/>
      </c>
      <c r="K203" t="str">
        <v/>
      </c>
      <c r="L203" t="str">
        <v/>
      </c>
      <c r="M203" t="str">
        <v/>
      </c>
      <c r="N203" t="str">
        <v/>
      </c>
      <c r="O203" t="str">
        <v/>
      </c>
      <c r="P203" t="str">
        <v/>
      </c>
      <c r="U203" t="e">
        <v>#VALUE!</v>
      </c>
      <c r="V203" t="e">
        <v>#VALUE!</v>
      </c>
    </row>
    <row r="204" spans="1:22" x14ac:dyDescent="0.2">
      <c r="A204" t="str">
        <v/>
      </c>
      <c r="B204">
        <v>0</v>
      </c>
      <c r="C204">
        <v>0</v>
      </c>
      <c r="D204">
        <v>0</v>
      </c>
      <c r="E204" t="str">
        <v/>
      </c>
      <c r="F204" t="str">
        <v/>
      </c>
      <c r="G204" t="str">
        <v/>
      </c>
      <c r="H204" t="str">
        <v/>
      </c>
      <c r="I204" t="str">
        <v/>
      </c>
      <c r="J204" t="str">
        <v/>
      </c>
      <c r="K204" t="str">
        <v/>
      </c>
      <c r="L204" t="str">
        <v/>
      </c>
      <c r="M204" t="str">
        <v/>
      </c>
      <c r="N204" t="str">
        <v/>
      </c>
      <c r="O204" t="str">
        <v/>
      </c>
      <c r="P204" t="str">
        <v/>
      </c>
      <c r="U204" t="e">
        <v>#VALUE!</v>
      </c>
      <c r="V204" t="e">
        <v>#VALUE!</v>
      </c>
    </row>
    <row r="205" spans="1:22" x14ac:dyDescent="0.2">
      <c r="A205" t="str">
        <v/>
      </c>
      <c r="B205">
        <v>0</v>
      </c>
      <c r="C205">
        <v>0</v>
      </c>
      <c r="D205">
        <v>0</v>
      </c>
      <c r="E205" t="str">
        <v/>
      </c>
      <c r="F205" t="str">
        <v/>
      </c>
      <c r="G205" t="str">
        <v/>
      </c>
      <c r="H205" t="str">
        <v/>
      </c>
      <c r="I205" t="str">
        <v/>
      </c>
      <c r="J205" t="str">
        <v/>
      </c>
      <c r="K205" t="str">
        <v/>
      </c>
      <c r="L205" t="str">
        <v/>
      </c>
      <c r="M205" t="str">
        <v/>
      </c>
      <c r="N205" t="str">
        <v/>
      </c>
      <c r="O205" t="str">
        <v/>
      </c>
      <c r="P205" t="str">
        <v/>
      </c>
      <c r="U205" t="e">
        <v>#VALUE!</v>
      </c>
      <c r="V205" t="e">
        <v>#VALUE!</v>
      </c>
    </row>
    <row r="206" spans="1:22" x14ac:dyDescent="0.2">
      <c r="A206" t="str">
        <v/>
      </c>
      <c r="B206">
        <v>0</v>
      </c>
      <c r="C206">
        <v>0</v>
      </c>
      <c r="D206">
        <v>0</v>
      </c>
      <c r="E206" t="str">
        <v/>
      </c>
      <c r="F206" t="str">
        <v/>
      </c>
      <c r="G206" t="str">
        <v/>
      </c>
      <c r="H206" t="str">
        <v/>
      </c>
      <c r="I206" t="str">
        <v/>
      </c>
      <c r="J206" t="str">
        <v/>
      </c>
      <c r="K206" t="str">
        <v/>
      </c>
      <c r="L206" t="str">
        <v/>
      </c>
      <c r="M206" t="str">
        <v/>
      </c>
      <c r="N206" t="str">
        <v/>
      </c>
      <c r="O206" t="str">
        <v/>
      </c>
      <c r="P206" t="str">
        <v/>
      </c>
      <c r="U206" t="e">
        <v>#VALUE!</v>
      </c>
      <c r="V206" t="e">
        <v>#VALUE!</v>
      </c>
    </row>
    <row r="207" spans="1:22" x14ac:dyDescent="0.2">
      <c r="A207" t="str">
        <v/>
      </c>
      <c r="B207">
        <v>0</v>
      </c>
      <c r="C207">
        <v>0</v>
      </c>
      <c r="D207">
        <v>0</v>
      </c>
      <c r="E207" t="str">
        <v/>
      </c>
      <c r="F207" t="str">
        <v/>
      </c>
      <c r="G207" t="str">
        <v/>
      </c>
      <c r="H207" t="str">
        <v/>
      </c>
      <c r="I207" t="str">
        <v/>
      </c>
      <c r="J207" t="str">
        <v/>
      </c>
      <c r="K207" t="str">
        <v/>
      </c>
      <c r="L207" t="str">
        <v/>
      </c>
      <c r="M207" t="str">
        <v/>
      </c>
      <c r="N207" t="str">
        <v/>
      </c>
      <c r="O207" t="str">
        <v/>
      </c>
      <c r="P207" t="str">
        <v/>
      </c>
      <c r="U207" t="e">
        <v>#VALUE!</v>
      </c>
      <c r="V207" t="e">
        <v>#VALUE!</v>
      </c>
    </row>
    <row r="208" spans="1:22" x14ac:dyDescent="0.2">
      <c r="A208" t="str">
        <v/>
      </c>
      <c r="B208">
        <v>0</v>
      </c>
      <c r="C208">
        <v>0</v>
      </c>
      <c r="D208">
        <v>0</v>
      </c>
      <c r="E208" t="str">
        <v/>
      </c>
      <c r="F208" t="str">
        <v/>
      </c>
      <c r="G208" t="str">
        <v/>
      </c>
      <c r="H208" t="str">
        <v/>
      </c>
      <c r="I208" t="str">
        <v/>
      </c>
      <c r="J208" t="str">
        <v/>
      </c>
      <c r="K208" t="str">
        <v/>
      </c>
      <c r="L208" t="str">
        <v/>
      </c>
      <c r="M208" t="str">
        <v/>
      </c>
      <c r="N208" t="str">
        <v/>
      </c>
      <c r="O208" t="str">
        <v/>
      </c>
      <c r="P208" t="str">
        <v/>
      </c>
      <c r="U208" t="e">
        <v>#VALUE!</v>
      </c>
      <c r="V208" t="e">
        <v>#VALUE!</v>
      </c>
    </row>
    <row r="209" spans="1:22" x14ac:dyDescent="0.2">
      <c r="A209" t="str">
        <v/>
      </c>
      <c r="B209">
        <v>0</v>
      </c>
      <c r="C209">
        <v>0</v>
      </c>
      <c r="D209">
        <v>0</v>
      </c>
      <c r="E209" t="str">
        <v/>
      </c>
      <c r="F209" t="str">
        <v/>
      </c>
      <c r="G209" t="str">
        <v/>
      </c>
      <c r="H209" t="str">
        <v/>
      </c>
      <c r="I209" t="str">
        <v/>
      </c>
      <c r="J209" t="str">
        <v/>
      </c>
      <c r="K209" t="str">
        <v/>
      </c>
      <c r="L209" t="str">
        <v/>
      </c>
      <c r="M209" t="str">
        <v/>
      </c>
      <c r="N209" t="str">
        <v/>
      </c>
      <c r="O209" t="str">
        <v/>
      </c>
      <c r="P209" t="str">
        <v/>
      </c>
      <c r="U209" t="e">
        <v>#VALUE!</v>
      </c>
      <c r="V209" t="e">
        <v>#VALUE!</v>
      </c>
    </row>
    <row r="210" spans="1:22" x14ac:dyDescent="0.2">
      <c r="A210" t="str">
        <v/>
      </c>
      <c r="B210">
        <v>0</v>
      </c>
      <c r="C210">
        <v>0</v>
      </c>
      <c r="D210">
        <v>0</v>
      </c>
      <c r="E210" t="str">
        <v/>
      </c>
      <c r="F210" t="str">
        <v/>
      </c>
      <c r="G210" t="str">
        <v/>
      </c>
      <c r="H210" t="str">
        <v/>
      </c>
      <c r="I210" t="str">
        <v/>
      </c>
      <c r="J210" t="str">
        <v/>
      </c>
      <c r="K210" t="str">
        <v/>
      </c>
      <c r="L210" t="str">
        <v/>
      </c>
      <c r="M210" t="str">
        <v/>
      </c>
      <c r="N210" t="str">
        <v/>
      </c>
      <c r="O210" t="str">
        <v/>
      </c>
      <c r="P210" t="str">
        <v/>
      </c>
      <c r="U210" t="e">
        <v>#VALUE!</v>
      </c>
      <c r="V210" t="e">
        <v>#VALUE!</v>
      </c>
    </row>
    <row r="211" spans="1:22" x14ac:dyDescent="0.2">
      <c r="A211" t="str">
        <v/>
      </c>
      <c r="B211">
        <v>0</v>
      </c>
      <c r="C211">
        <v>0</v>
      </c>
      <c r="D211">
        <v>0</v>
      </c>
      <c r="E211" t="str">
        <v/>
      </c>
      <c r="F211" t="str">
        <v/>
      </c>
      <c r="G211" t="str">
        <v/>
      </c>
      <c r="H211" t="str">
        <v/>
      </c>
      <c r="I211" t="str">
        <v/>
      </c>
      <c r="J211" t="str">
        <v/>
      </c>
      <c r="K211" t="str">
        <v/>
      </c>
      <c r="L211" t="str">
        <v/>
      </c>
      <c r="M211" t="str">
        <v/>
      </c>
      <c r="N211" t="str">
        <v/>
      </c>
      <c r="O211" t="str">
        <v/>
      </c>
      <c r="P211" t="str">
        <v/>
      </c>
      <c r="U211" t="e">
        <v>#VALUE!</v>
      </c>
      <c r="V211" t="e">
        <v>#VALUE!</v>
      </c>
    </row>
    <row r="212" spans="1:22" x14ac:dyDescent="0.2">
      <c r="A212" t="str">
        <v/>
      </c>
      <c r="B212">
        <v>0</v>
      </c>
      <c r="C212">
        <v>0</v>
      </c>
      <c r="D212">
        <v>0</v>
      </c>
      <c r="E212" t="str">
        <v/>
      </c>
      <c r="F212" t="str">
        <v/>
      </c>
      <c r="G212" t="str">
        <v/>
      </c>
      <c r="H212" t="str">
        <v/>
      </c>
      <c r="I212" t="str">
        <v/>
      </c>
      <c r="J212" t="str">
        <v/>
      </c>
      <c r="K212" t="str">
        <v/>
      </c>
      <c r="L212" t="str">
        <v/>
      </c>
      <c r="M212" t="str">
        <v/>
      </c>
      <c r="N212" t="str">
        <v/>
      </c>
      <c r="O212" t="str">
        <v/>
      </c>
      <c r="P212" t="str">
        <v/>
      </c>
      <c r="U212" t="e">
        <v>#VALUE!</v>
      </c>
      <c r="V212" t="e">
        <v>#VALUE!</v>
      </c>
    </row>
  </sheetData>
  <phoneticPr fontId="6" type="noConversion"/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26ef5ce-ba5e-40c2-abed-637b2dbc283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266FCDAA0D134BBB00A72477F1FB11" ma:contentTypeVersion="12" ma:contentTypeDescription="Create a new document." ma:contentTypeScope="" ma:versionID="e611945d0060ca36e05be2c242967569">
  <xsd:schema xmlns:xsd="http://www.w3.org/2001/XMLSchema" xmlns:xs="http://www.w3.org/2001/XMLSchema" xmlns:p="http://schemas.microsoft.com/office/2006/metadata/properties" xmlns:ns3="426ef5ce-ba5e-40c2-abed-637b2dbc2836" targetNamespace="http://schemas.microsoft.com/office/2006/metadata/properties" ma:root="true" ma:fieldsID="e4350f1426174b5dcb67de8fe5f3ee9b" ns3:_="">
    <xsd:import namespace="426ef5ce-ba5e-40c2-abed-637b2dbc2836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6ef5ce-ba5e-40c2-abed-637b2dbc2836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7D55529-86C5-40EF-97DB-AF2E9082C860}">
  <ds:schemaRefs>
    <ds:schemaRef ds:uri="http://purl.org/dc/terms/"/>
    <ds:schemaRef ds:uri="http://schemas.openxmlformats.org/package/2006/metadata/core-properties"/>
    <ds:schemaRef ds:uri="http://purl.org/dc/elements/1.1/"/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426ef5ce-ba5e-40c2-abed-637b2dbc2836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96F583E7-1BA7-4ED1-98EA-917B47AAC9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6ef5ce-ba5e-40c2-abed-637b2dbc28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FAED8D6-504C-4CCD-9EE0-A35E4A8D4A9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Surveys</vt:lpstr>
      <vt:lpstr>Sheet2</vt:lpstr>
      <vt:lpstr>Email List</vt:lpstr>
      <vt:lpstr>Mag Spacing Chart</vt:lpstr>
      <vt:lpstr>Worksheet</vt:lpstr>
      <vt:lpstr>Surveys!Print_Area</vt:lpstr>
      <vt:lpstr>Surveys!Print_Titles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Survey calculations</dc:title>
  <dc:creator>True North</dc:creator>
  <cp:lastModifiedBy>Command Center</cp:lastModifiedBy>
  <cp:lastPrinted>2026-07-05T02:09:58Z</cp:lastPrinted>
  <dcterms:created xsi:type="dcterms:W3CDTF">2001-02-21T14:57:02Z</dcterms:created>
  <dcterms:modified xsi:type="dcterms:W3CDTF">2026-07-05T02:12:53Z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0x010100A7266FCDAA0D134BBB00A72477F1FB11</vt:lpwstr>
  </property>
</Properties>
</file>